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C:\Users\Bee\Documents\kemi\"/>
    </mc:Choice>
  </mc:AlternateContent>
  <xr:revisionPtr revIDLastSave="0" documentId="13_ncr:1_{E9ECE02B-509A-4842-9B41-FB16ADE4964A}" xr6:coauthVersionLast="47" xr6:coauthVersionMax="47" xr10:uidLastSave="{00000000-0000-0000-0000-000000000000}"/>
  <bookViews>
    <workbookView xWindow="-120" yWindow="-120" windowWidth="29040" windowHeight="15840" activeTab="2" xr2:uid="{0DCE6918-D3A9-4D55-BED5-F67F409DA862}"/>
  </bookViews>
  <sheets>
    <sheet name="Finance loan approval predict" sheetId="1" r:id="rId1"/>
    <sheet name="Data (2)" sheetId="2" r:id="rId2"/>
    <sheet name="Pre-Analysis Board" sheetId="4" r:id="rId3"/>
    <sheet name="In-Analysis Board" sheetId="14" r:id="rId4"/>
    <sheet name="Loan Approval Distribution" sheetId="17" r:id="rId5"/>
    <sheet name="EDUCATION IMPACT ON LOAN APPROV" sheetId="7" r:id="rId6"/>
    <sheet name="SELF EMPLOYED VS LOAN APPROVAL" sheetId="8" r:id="rId7"/>
    <sheet name="APPLICANT INCOME ANALYSIS" sheetId="9" r:id="rId8"/>
    <sheet name="DEPENDENTS VS LOAN APPROVAL" sheetId="21" r:id="rId9"/>
    <sheet name="CREDIT HISTORY IMPACT ON LOAN A" sheetId="13" r:id="rId10"/>
    <sheet name="Dashboard Sketch" sheetId="11" r:id="rId11"/>
    <sheet name="Dashboard Interface" sheetId="20" r:id="rId12"/>
    <sheet name="Post-Analysis Board" sheetId="22" r:id="rId13"/>
  </sheets>
  <definedNames>
    <definedName name="_xlchart.v1.0" hidden="1">'APPLICANT INCOME ANALYSIS'!$D$8:$D$12</definedName>
    <definedName name="_xlchart.v1.1" hidden="1">'APPLICANT INCOME ANALYSIS'!$E$7</definedName>
    <definedName name="_xlchart.v1.2" hidden="1">'APPLICANT INCOME ANALYSIS'!$E$8:$E$12</definedName>
    <definedName name="_xlchart.v1.3" hidden="1">'APPLICANT INCOME ANALYSIS'!$D$8:$D$12</definedName>
    <definedName name="_xlchart.v1.4" hidden="1">'APPLICANT INCOME ANALYSIS'!$E$7</definedName>
    <definedName name="_xlchart.v1.5" hidden="1">'APPLICANT INCOME ANALYSIS'!$E$8:$E$12</definedName>
    <definedName name="Slicer_Education">#N/A</definedName>
    <definedName name="Slicer_Gender">#N/A</definedName>
    <definedName name="Slicer_Married">#N/A</definedName>
    <definedName name="Slicer_Self_Employed">#N/A</definedName>
  </definedNames>
  <calcPr calcId="191029"/>
  <pivotCaches>
    <pivotCache cacheId="49"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9" i="2" l="1"/>
  <c r="Q15" i="2"/>
  <c r="Q11" i="2"/>
  <c r="Q8" i="2"/>
  <c r="Q5"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2" i="2"/>
</calcChain>
</file>

<file path=xl/sharedStrings.xml><?xml version="1.0" encoding="utf-8"?>
<sst xmlns="http://schemas.openxmlformats.org/spreadsheetml/2006/main" count="4849" uniqueCount="432">
  <si>
    <t>Loan_ID</t>
  </si>
  <si>
    <t>Gender</t>
  </si>
  <si>
    <t>Married</t>
  </si>
  <si>
    <t>Dependents</t>
  </si>
  <si>
    <t>Education</t>
  </si>
  <si>
    <t>Self_Employed</t>
  </si>
  <si>
    <t>ApplicantIncome</t>
  </si>
  <si>
    <t>CoapplicantIncome</t>
  </si>
  <si>
    <t>LoanAmount</t>
  </si>
  <si>
    <t>Loan_Amount_Term</t>
  </si>
  <si>
    <t>Credit_History</t>
  </si>
  <si>
    <t>Property_Area</t>
  </si>
  <si>
    <t>LP001015</t>
  </si>
  <si>
    <t>Male</t>
  </si>
  <si>
    <t>Yes</t>
  </si>
  <si>
    <t>Graduate</t>
  </si>
  <si>
    <t>No</t>
  </si>
  <si>
    <t>Urban</t>
  </si>
  <si>
    <t>LP001022</t>
  </si>
  <si>
    <t>LP001031</t>
  </si>
  <si>
    <t>LP001035</t>
  </si>
  <si>
    <t>LP001051</t>
  </si>
  <si>
    <t>Not Graduate</t>
  </si>
  <si>
    <t>LP001054</t>
  </si>
  <si>
    <t>LP001055</t>
  </si>
  <si>
    <t>Female</t>
  </si>
  <si>
    <t>Semiurban</t>
  </si>
  <si>
    <t>LP001056</t>
  </si>
  <si>
    <t>Rural</t>
  </si>
  <si>
    <t>LP001059</t>
  </si>
  <si>
    <t>LP001067</t>
  </si>
  <si>
    <t>LP001078</t>
  </si>
  <si>
    <t>LP001082</t>
  </si>
  <si>
    <t>LP001083</t>
  </si>
  <si>
    <t>3+</t>
  </si>
  <si>
    <t>LP001094</t>
  </si>
  <si>
    <t>LP001096</t>
  </si>
  <si>
    <t>LP001099</t>
  </si>
  <si>
    <t>LP001105</t>
  </si>
  <si>
    <t>LP001107</t>
  </si>
  <si>
    <t>LP001108</t>
  </si>
  <si>
    <t>LP001115</t>
  </si>
  <si>
    <t>LP001121</t>
  </si>
  <si>
    <t>LP001124</t>
  </si>
  <si>
    <t>LP001128</t>
  </si>
  <si>
    <t>LP001135</t>
  </si>
  <si>
    <t>LP001149</t>
  </si>
  <si>
    <t>LP001153</t>
  </si>
  <si>
    <t>LP001163</t>
  </si>
  <si>
    <t>LP001169</t>
  </si>
  <si>
    <t>LP001174</t>
  </si>
  <si>
    <t>LP001176</t>
  </si>
  <si>
    <t>LP001177</t>
  </si>
  <si>
    <t>LP001183</t>
  </si>
  <si>
    <t>LP001185</t>
  </si>
  <si>
    <t>LP001187</t>
  </si>
  <si>
    <t>LP001190</t>
  </si>
  <si>
    <t>LP001203</t>
  </si>
  <si>
    <t>LP001208</t>
  </si>
  <si>
    <t>LP001210</t>
  </si>
  <si>
    <t>LP001211</t>
  </si>
  <si>
    <t>LP001219</t>
  </si>
  <si>
    <t>LP001220</t>
  </si>
  <si>
    <t>LP001221</t>
  </si>
  <si>
    <t>LP001226</t>
  </si>
  <si>
    <t>LP001230</t>
  </si>
  <si>
    <t>LP001231</t>
  </si>
  <si>
    <t>LP001232</t>
  </si>
  <si>
    <t>LP001237</t>
  </si>
  <si>
    <t>LP001242</t>
  </si>
  <si>
    <t>LP001268</t>
  </si>
  <si>
    <t>LP001270</t>
  </si>
  <si>
    <t>LP001284</t>
  </si>
  <si>
    <t>LP001287</t>
  </si>
  <si>
    <t>LP001291</t>
  </si>
  <si>
    <t>LP001298</t>
  </si>
  <si>
    <t>LP001312</t>
  </si>
  <si>
    <t>LP001313</t>
  </si>
  <si>
    <t>LP001317</t>
  </si>
  <si>
    <t>LP001321</t>
  </si>
  <si>
    <t>LP001323</t>
  </si>
  <si>
    <t>LP001324</t>
  </si>
  <si>
    <t>LP001332</t>
  </si>
  <si>
    <t>LP001335</t>
  </si>
  <si>
    <t>LP001338</t>
  </si>
  <si>
    <t>LP001347</t>
  </si>
  <si>
    <t>LP001348</t>
  </si>
  <si>
    <t>LP001351</t>
  </si>
  <si>
    <t>LP001352</t>
  </si>
  <si>
    <t>LP001358</t>
  </si>
  <si>
    <t>LP001359</t>
  </si>
  <si>
    <t>LP001361</t>
  </si>
  <si>
    <t>LP001366</t>
  </si>
  <si>
    <t>LP001368</t>
  </si>
  <si>
    <t>LP001375</t>
  </si>
  <si>
    <t>LP001380</t>
  </si>
  <si>
    <t>LP001386</t>
  </si>
  <si>
    <t>LP001400</t>
  </si>
  <si>
    <t>LP001407</t>
  </si>
  <si>
    <t>LP001413</t>
  </si>
  <si>
    <t>LP001415</t>
  </si>
  <si>
    <t>LP001419</t>
  </si>
  <si>
    <t>LP001420</t>
  </si>
  <si>
    <t>LP001428</t>
  </si>
  <si>
    <t>LP001445</t>
  </si>
  <si>
    <t>LP001446</t>
  </si>
  <si>
    <t>LP001450</t>
  </si>
  <si>
    <t>LP001452</t>
  </si>
  <si>
    <t>LP001455</t>
  </si>
  <si>
    <t>LP001466</t>
  </si>
  <si>
    <t>LP001471</t>
  </si>
  <si>
    <t>LP001472</t>
  </si>
  <si>
    <t>LP001475</t>
  </si>
  <si>
    <t>LP001483</t>
  </si>
  <si>
    <t>LP001486</t>
  </si>
  <si>
    <t>LP001490</t>
  </si>
  <si>
    <t>LP001496</t>
  </si>
  <si>
    <t>LP001499</t>
  </si>
  <si>
    <t>LP001500</t>
  </si>
  <si>
    <t>LP001501</t>
  </si>
  <si>
    <t>LP001517</t>
  </si>
  <si>
    <t>LP001527</t>
  </si>
  <si>
    <t>LP001534</t>
  </si>
  <si>
    <t>LP001542</t>
  </si>
  <si>
    <t>LP001547</t>
  </si>
  <si>
    <t>LP001548</t>
  </si>
  <si>
    <t>LP001558</t>
  </si>
  <si>
    <t>LP001561</t>
  </si>
  <si>
    <t>LP001563</t>
  </si>
  <si>
    <t>LP001567</t>
  </si>
  <si>
    <t>LP001568</t>
  </si>
  <si>
    <t>LP001573</t>
  </si>
  <si>
    <t>LP001584</t>
  </si>
  <si>
    <t>LP001587</t>
  </si>
  <si>
    <t>LP001589</t>
  </si>
  <si>
    <t>LP001591</t>
  </si>
  <si>
    <t>LP001599</t>
  </si>
  <si>
    <t>LP001601</t>
  </si>
  <si>
    <t>LP001607</t>
  </si>
  <si>
    <t>LP001611</t>
  </si>
  <si>
    <t>LP001613</t>
  </si>
  <si>
    <t>LP001622</t>
  </si>
  <si>
    <t>LP001627</t>
  </si>
  <si>
    <t>LP001650</t>
  </si>
  <si>
    <t>LP001651</t>
  </si>
  <si>
    <t>LP001652</t>
  </si>
  <si>
    <t>LP001655</t>
  </si>
  <si>
    <t>LP001660</t>
  </si>
  <si>
    <t>LP001662</t>
  </si>
  <si>
    <t>LP001663</t>
  </si>
  <si>
    <t>LP001667</t>
  </si>
  <si>
    <t>LP001695</t>
  </si>
  <si>
    <t>LP001703</t>
  </si>
  <si>
    <t>LP001718</t>
  </si>
  <si>
    <t>LP001728</t>
  </si>
  <si>
    <t>LP001735</t>
  </si>
  <si>
    <t>LP001737</t>
  </si>
  <si>
    <t>LP001739</t>
  </si>
  <si>
    <t>LP001742</t>
  </si>
  <si>
    <t>LP001757</t>
  </si>
  <si>
    <t>LP001769</t>
  </si>
  <si>
    <t>LP001771</t>
  </si>
  <si>
    <t>LP001785</t>
  </si>
  <si>
    <t>LP001787</t>
  </si>
  <si>
    <t>LP001789</t>
  </si>
  <si>
    <t>LP001791</t>
  </si>
  <si>
    <t>LP001794</t>
  </si>
  <si>
    <t>LP001797</t>
  </si>
  <si>
    <t>LP001815</t>
  </si>
  <si>
    <t>LP001817</t>
  </si>
  <si>
    <t>LP001818</t>
  </si>
  <si>
    <t>LP001822</t>
  </si>
  <si>
    <t>LP001827</t>
  </si>
  <si>
    <t>LP001831</t>
  </si>
  <si>
    <t>LP001842</t>
  </si>
  <si>
    <t>LP001853</t>
  </si>
  <si>
    <t>LP001855</t>
  </si>
  <si>
    <t>LP001857</t>
  </si>
  <si>
    <t>LP001862</t>
  </si>
  <si>
    <t>LP001867</t>
  </si>
  <si>
    <t>LP001878</t>
  </si>
  <si>
    <t>LP001881</t>
  </si>
  <si>
    <t>LP001886</t>
  </si>
  <si>
    <t>LP001906</t>
  </si>
  <si>
    <t>LP001909</t>
  </si>
  <si>
    <t>LP001911</t>
  </si>
  <si>
    <t>LP001921</t>
  </si>
  <si>
    <t>LP001923</t>
  </si>
  <si>
    <t>LP001933</t>
  </si>
  <si>
    <t>LP001943</t>
  </si>
  <si>
    <t>LP001950</t>
  </si>
  <si>
    <t>LP001959</t>
  </si>
  <si>
    <t>LP001961</t>
  </si>
  <si>
    <t>LP001973</t>
  </si>
  <si>
    <t>LP001975</t>
  </si>
  <si>
    <t>LP001979</t>
  </si>
  <si>
    <t>LP001995</t>
  </si>
  <si>
    <t>LP001999</t>
  </si>
  <si>
    <t>LP002007</t>
  </si>
  <si>
    <t>LP002009</t>
  </si>
  <si>
    <t>LP002016</t>
  </si>
  <si>
    <t>LP002017</t>
  </si>
  <si>
    <t>LP002018</t>
  </si>
  <si>
    <t>LP002027</t>
  </si>
  <si>
    <t>LP002028</t>
  </si>
  <si>
    <t>LP002042</t>
  </si>
  <si>
    <t>LP002045</t>
  </si>
  <si>
    <t>LP002046</t>
  </si>
  <si>
    <t>LP002047</t>
  </si>
  <si>
    <t>LP002056</t>
  </si>
  <si>
    <t>LP002057</t>
  </si>
  <si>
    <t>LP002059</t>
  </si>
  <si>
    <t>LP002062</t>
  </si>
  <si>
    <t>LP002064</t>
  </si>
  <si>
    <t>LP002069</t>
  </si>
  <si>
    <t>LP002070</t>
  </si>
  <si>
    <t>LP002077</t>
  </si>
  <si>
    <t>LP002083</t>
  </si>
  <si>
    <t>LP002090</t>
  </si>
  <si>
    <t>LP002096</t>
  </si>
  <si>
    <t>LP002099</t>
  </si>
  <si>
    <t>LP002102</t>
  </si>
  <si>
    <t>LP002105</t>
  </si>
  <si>
    <t>LP002107</t>
  </si>
  <si>
    <t>LP002111</t>
  </si>
  <si>
    <t>LP002117</t>
  </si>
  <si>
    <t>LP002118</t>
  </si>
  <si>
    <t>LP002123</t>
  </si>
  <si>
    <t>LP002125</t>
  </si>
  <si>
    <t>LP002148</t>
  </si>
  <si>
    <t>LP002152</t>
  </si>
  <si>
    <t>LP002165</t>
  </si>
  <si>
    <t>LP002167</t>
  </si>
  <si>
    <t>LP002168</t>
  </si>
  <si>
    <t>LP002172</t>
  </si>
  <si>
    <t>LP002176</t>
  </si>
  <si>
    <t>LP002183</t>
  </si>
  <si>
    <t>LP002184</t>
  </si>
  <si>
    <t>LP002186</t>
  </si>
  <si>
    <t>LP002192</t>
  </si>
  <si>
    <t>LP002195</t>
  </si>
  <si>
    <t>LP002208</t>
  </si>
  <si>
    <t>LP002212</t>
  </si>
  <si>
    <t>LP002240</t>
  </si>
  <si>
    <t>LP002245</t>
  </si>
  <si>
    <t>LP002253</t>
  </si>
  <si>
    <t>LP002256</t>
  </si>
  <si>
    <t>LP002257</t>
  </si>
  <si>
    <t>LP002264</t>
  </si>
  <si>
    <t>LP002270</t>
  </si>
  <si>
    <t>LP002279</t>
  </si>
  <si>
    <t>LP002286</t>
  </si>
  <si>
    <t>LP002294</t>
  </si>
  <si>
    <t>LP002298</t>
  </si>
  <si>
    <t>LP002306</t>
  </si>
  <si>
    <t>LP002310</t>
  </si>
  <si>
    <t>LP002311</t>
  </si>
  <si>
    <t>LP002316</t>
  </si>
  <si>
    <t>LP002321</t>
  </si>
  <si>
    <t>LP002325</t>
  </si>
  <si>
    <t>LP002326</t>
  </si>
  <si>
    <t>LP002329</t>
  </si>
  <si>
    <t>LP002333</t>
  </si>
  <si>
    <t>LP002339</t>
  </si>
  <si>
    <t>LP002344</t>
  </si>
  <si>
    <t>LP002346</t>
  </si>
  <si>
    <t>LP002354</t>
  </si>
  <si>
    <t>LP002355</t>
  </si>
  <si>
    <t>LP002358</t>
  </si>
  <si>
    <t>LP002360</t>
  </si>
  <si>
    <t>LP002375</t>
  </si>
  <si>
    <t>LP002376</t>
  </si>
  <si>
    <t>LP002383</t>
  </si>
  <si>
    <t>LP002385</t>
  </si>
  <si>
    <t>LP002389</t>
  </si>
  <si>
    <t>LP002394</t>
  </si>
  <si>
    <t>LP002397</t>
  </si>
  <si>
    <t>LP002399</t>
  </si>
  <si>
    <t>LP002400</t>
  </si>
  <si>
    <t>LP002402</t>
  </si>
  <si>
    <t>LP002412</t>
  </si>
  <si>
    <t>LP002415</t>
  </si>
  <si>
    <t>LP002417</t>
  </si>
  <si>
    <t>LP002420</t>
  </si>
  <si>
    <t>LP002425</t>
  </si>
  <si>
    <t>LP002433</t>
  </si>
  <si>
    <t>LP002440</t>
  </si>
  <si>
    <t>LP002441</t>
  </si>
  <si>
    <t>LP002442</t>
  </si>
  <si>
    <t>LP002445</t>
  </si>
  <si>
    <t>LP002450</t>
  </si>
  <si>
    <t>LP002471</t>
  </si>
  <si>
    <t>LP002476</t>
  </si>
  <si>
    <t>LP002482</t>
  </si>
  <si>
    <t>LP002485</t>
  </si>
  <si>
    <t>LP002495</t>
  </si>
  <si>
    <t>LP002496</t>
  </si>
  <si>
    <t>LP002523</t>
  </si>
  <si>
    <t>LP002542</t>
  </si>
  <si>
    <t>LP002550</t>
  </si>
  <si>
    <t>LP002551</t>
  </si>
  <si>
    <t>LP002553</t>
  </si>
  <si>
    <t>LP002554</t>
  </si>
  <si>
    <t>LP002561</t>
  </si>
  <si>
    <t>LP002566</t>
  </si>
  <si>
    <t>LP002568</t>
  </si>
  <si>
    <t>LP002570</t>
  </si>
  <si>
    <t>LP002572</t>
  </si>
  <si>
    <t>LP002581</t>
  </si>
  <si>
    <t>LP002584</t>
  </si>
  <si>
    <t>LP002592</t>
  </si>
  <si>
    <t>LP002593</t>
  </si>
  <si>
    <t>LP002599</t>
  </si>
  <si>
    <t>LP002604</t>
  </si>
  <si>
    <t>LP002605</t>
  </si>
  <si>
    <t>LP002609</t>
  </si>
  <si>
    <t>LP002610</t>
  </si>
  <si>
    <t>LP002612</t>
  </si>
  <si>
    <t>LP002614</t>
  </si>
  <si>
    <t>LP002630</t>
  </si>
  <si>
    <t>LP002635</t>
  </si>
  <si>
    <t>LP002639</t>
  </si>
  <si>
    <t>LP002644</t>
  </si>
  <si>
    <t>LP002651</t>
  </si>
  <si>
    <t>LP002654</t>
  </si>
  <si>
    <t>LP002657</t>
  </si>
  <si>
    <t>LP002711</t>
  </si>
  <si>
    <t>LP002712</t>
  </si>
  <si>
    <t>LP002721</t>
  </si>
  <si>
    <t>LP002735</t>
  </si>
  <si>
    <t>LP002744</t>
  </si>
  <si>
    <t>LP002745</t>
  </si>
  <si>
    <t>LP002746</t>
  </si>
  <si>
    <t>LP002747</t>
  </si>
  <si>
    <t>LP002754</t>
  </si>
  <si>
    <t>LP002759</t>
  </si>
  <si>
    <t>LP002760</t>
  </si>
  <si>
    <t>LP002766</t>
  </si>
  <si>
    <t>LP002769</t>
  </si>
  <si>
    <t>LP002774</t>
  </si>
  <si>
    <t>LP002775</t>
  </si>
  <si>
    <t>LP002781</t>
  </si>
  <si>
    <t>LP002782</t>
  </si>
  <si>
    <t>LP002786</t>
  </si>
  <si>
    <t>LP002790</t>
  </si>
  <si>
    <t>LP002791</t>
  </si>
  <si>
    <t>LP002793</t>
  </si>
  <si>
    <t>LP002802</t>
  </si>
  <si>
    <t>LP002803</t>
  </si>
  <si>
    <t>LP002805</t>
  </si>
  <si>
    <t>LP002806</t>
  </si>
  <si>
    <t>LP002816</t>
  </si>
  <si>
    <t>LP002823</t>
  </si>
  <si>
    <t>LP002825</t>
  </si>
  <si>
    <t>LP002826</t>
  </si>
  <si>
    <t>LP002843</t>
  </si>
  <si>
    <t>LP002849</t>
  </si>
  <si>
    <t>LP002850</t>
  </si>
  <si>
    <t>LP002853</t>
  </si>
  <si>
    <t>LP002856</t>
  </si>
  <si>
    <t>LP002857</t>
  </si>
  <si>
    <t>LP002858</t>
  </si>
  <si>
    <t>LP002860</t>
  </si>
  <si>
    <t>LP002867</t>
  </si>
  <si>
    <t>LP002869</t>
  </si>
  <si>
    <t>LP002870</t>
  </si>
  <si>
    <t>LP002876</t>
  </si>
  <si>
    <t>LP002878</t>
  </si>
  <si>
    <t>LP002879</t>
  </si>
  <si>
    <t>LP002885</t>
  </si>
  <si>
    <t>LP002890</t>
  </si>
  <si>
    <t>LP002891</t>
  </si>
  <si>
    <t>LP002899</t>
  </si>
  <si>
    <t>LP002901</t>
  </si>
  <si>
    <t>LP002907</t>
  </si>
  <si>
    <t>LP002920</t>
  </si>
  <si>
    <t>LP002921</t>
  </si>
  <si>
    <t>LP002932</t>
  </si>
  <si>
    <t>LP002935</t>
  </si>
  <si>
    <t>LP002952</t>
  </si>
  <si>
    <t>LP002954</t>
  </si>
  <si>
    <t>LP002962</t>
  </si>
  <si>
    <t>LP002965</t>
  </si>
  <si>
    <t>LP002969</t>
  </si>
  <si>
    <t>LP002971</t>
  </si>
  <si>
    <t>LP002975</t>
  </si>
  <si>
    <t>LP002980</t>
  </si>
  <si>
    <t>LP002986</t>
  </si>
  <si>
    <t>LP002989</t>
  </si>
  <si>
    <t>0</t>
  </si>
  <si>
    <t>1</t>
  </si>
  <si>
    <t>2</t>
  </si>
  <si>
    <t/>
  </si>
  <si>
    <t>Loan_Status</t>
  </si>
  <si>
    <t>Total Income</t>
  </si>
  <si>
    <t>Aprproved_Value</t>
  </si>
  <si>
    <t>3</t>
  </si>
  <si>
    <t>4</t>
  </si>
  <si>
    <t>5</t>
  </si>
  <si>
    <t>6</t>
  </si>
  <si>
    <t>7</t>
  </si>
  <si>
    <t>8</t>
  </si>
  <si>
    <t>9</t>
  </si>
  <si>
    <t>10</t>
  </si>
  <si>
    <t>11</t>
  </si>
  <si>
    <t>12</t>
  </si>
  <si>
    <t>13</t>
  </si>
  <si>
    <t>14</t>
  </si>
  <si>
    <t>15</t>
  </si>
  <si>
    <t>16</t>
  </si>
  <si>
    <t>17</t>
  </si>
  <si>
    <t>18</t>
  </si>
  <si>
    <t>Row Labels</t>
  </si>
  <si>
    <t>Grand Total</t>
  </si>
  <si>
    <t>Sum of Aprproved_Value</t>
  </si>
  <si>
    <t>(blank)</t>
  </si>
  <si>
    <t>Column Labels</t>
  </si>
  <si>
    <t>Count of Loan_ID</t>
  </si>
  <si>
    <t>Approved</t>
  </si>
  <si>
    <t>Rejected</t>
  </si>
  <si>
    <t>0-9999</t>
  </si>
  <si>
    <t>10000-19999</t>
  </si>
  <si>
    <t>20000-29999</t>
  </si>
  <si>
    <t>30000-39999</t>
  </si>
  <si>
    <t>70000-80000</t>
  </si>
  <si>
    <t>Sum of Loan_Amount_Term</t>
  </si>
  <si>
    <t>Approved Loans</t>
  </si>
  <si>
    <t>Rejected Loan</t>
  </si>
  <si>
    <t>Total loan Applicant</t>
  </si>
  <si>
    <t>Approval Rate</t>
  </si>
  <si>
    <t>Average Loan Amount</t>
  </si>
  <si>
    <t>Count of Loan_Status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</si>
</sst>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3" tint="9.9978637043366805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7" fillId="34" borderId="0" xfId="0" applyFont="1" applyFill="1"/>
    <xf numFmtId="0" fontId="0" fillId="0" borderId="0" xfId="0" pivotButton="1"/>
    <xf numFmtId="0" fontId="0" fillId="0" borderId="0" xfId="0" applyAlignment="1">
      <alignment horizontal="left"/>
    </xf>
    <xf numFmtId="0" fontId="16" fillId="33" borderId="10" xfId="0" applyFont="1" applyFill="1" applyBorder="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b val="0"/>
        <i val="0"/>
        <strike val="0"/>
        <condense val="0"/>
        <extend val="0"/>
        <outline val="0"/>
        <shadow val="0"/>
        <u val="none"/>
        <vertAlign val="baseline"/>
        <sz val="11"/>
        <color theme="0"/>
        <name val="Aptos Narrow"/>
        <family val="2"/>
        <scheme val="minor"/>
      </font>
      <fill>
        <patternFill patternType="solid">
          <fgColor indexed="64"/>
          <bgColor theme="3" tint="9.9978637043366805E-2"/>
        </patternFill>
      </fill>
    </dxf>
    <dxf>
      <font>
        <sz val="14"/>
        <color theme="0"/>
        <name val="Consolas"/>
        <family val="3"/>
        <scheme val="none"/>
      </font>
      <border>
        <bottom style="thin">
          <color theme="4"/>
        </bottom>
        <vertical/>
        <horizontal/>
      </border>
    </dxf>
    <dxf>
      <font>
        <sz val="14"/>
        <color rgb="FF0052CC"/>
        <name val="Consolas"/>
        <family val="3"/>
        <scheme val="none"/>
      </font>
      <fill>
        <patternFill>
          <fgColor rgb="FF0052CC"/>
          <bgColor rgb="FF0052CC"/>
        </patternFill>
      </fill>
      <border diagonalUp="0" diagonalDown="0">
        <left/>
        <right/>
        <top/>
        <bottom/>
        <vertical/>
        <horizontal/>
      </border>
    </dxf>
  </dxfs>
  <tableStyles count="1" defaultTableStyle="TableStyleMedium2" defaultPivotStyle="PivotStyleLight16">
    <tableStyle name="SlicerStyleLight1 2" pivot="0" table="0" count="10" xr9:uid="{E3AC55FA-2C2F-47C0-96D5-FA652AD49100}">
      <tableStyleElement type="wholeTable" dxfId="2"/>
      <tableStyleElement type="headerRow" dxfId="1"/>
    </tableStyle>
  </tableStyles>
  <colors>
    <mruColors>
      <color rgb="FFD6E4FF"/>
      <color rgb="FF00398F"/>
      <color rgb="FF4D86DB"/>
      <color rgb="FF0042A3"/>
      <color rgb="FFE6EEFA"/>
      <color rgb="FFFFFFFF"/>
      <color rgb="FF0052CC"/>
      <color rgb="FFCCDCF5"/>
      <color rgb="FF00317A"/>
      <color rgb="FF0A2540"/>
    </mruColors>
  </colors>
  <extLst>
    <ext xmlns:x14="http://schemas.microsoft.com/office/spreadsheetml/2009/9/main" uri="{46F421CA-312F-682f-3DD2-61675219B42D}">
      <x14:dxfs count="8">
        <dxf>
          <font>
            <color rgb="FF0052CC"/>
          </font>
          <fill>
            <patternFill patternType="solid">
              <fgColor theme="0"/>
              <bgColor rgb="FFFFFFFF"/>
            </patternFill>
          </fill>
          <border diagonalUp="0" diagonalDown="0">
            <left/>
            <right/>
            <top/>
            <bottom/>
            <vertical/>
            <horizontal/>
          </border>
        </dxf>
        <dxf>
          <font>
            <color theme="0"/>
          </font>
          <fill>
            <patternFill patternType="solid">
              <fgColor auto="1"/>
              <bgColor rgb="FFFFFFFF"/>
            </patternFill>
          </fill>
          <border>
            <left style="thin">
              <color rgb="FF999999"/>
            </left>
            <right style="thin">
              <color rgb="FF999999"/>
            </right>
            <top style="thin">
              <color rgb="FF999999"/>
            </top>
            <bottom style="thin">
              <color rgb="FF999999"/>
            </bottom>
            <vertical/>
            <horizontal/>
          </border>
        </dxf>
        <dxf>
          <font>
            <color rgb="FF0052CC"/>
          </font>
          <fill>
            <patternFill patternType="solid">
              <fgColor theme="0"/>
              <bgColor rgb="FFFFFFFF"/>
            </patternFill>
          </fill>
          <border>
            <left style="thin">
              <color rgb="FF999999"/>
            </left>
            <right style="thin">
              <color rgb="FF999999"/>
            </right>
            <top style="thin">
              <color rgb="FF999999"/>
            </top>
            <bottom style="thin">
              <color rgb="FF999999"/>
            </bottom>
            <vertical/>
            <horizontal/>
          </border>
        </dxf>
        <dxf>
          <font>
            <color rgb="FF0052CC"/>
          </font>
          <fill>
            <patternFill patternType="solid">
              <fgColor auto="1"/>
              <bgColor rgb="FFFFFFFF"/>
            </patternFill>
          </fill>
          <border diagonalUp="0" diagonalDown="0">
            <left/>
            <right/>
            <top/>
            <bottom/>
            <vertical/>
            <horizontal/>
          </border>
        </dxf>
        <dxf>
          <font>
            <sz val="14"/>
            <color rgb="FF00398F"/>
            <name val="Consolas"/>
            <family val="3"/>
            <scheme val="none"/>
          </font>
          <fill>
            <patternFill patternType="solid">
              <fgColor rgb="FF0052CC"/>
              <bgColor rgb="FF0052CC"/>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rgb="FF0052CC"/>
              <bgColor rgb="FF0052CC"/>
            </patternFill>
          </fill>
          <border>
            <left style="thin">
              <color rgb="FF999999"/>
            </left>
            <right style="thin">
              <color rgb="FF999999"/>
            </right>
            <top style="thin">
              <color rgb="FF999999"/>
            </top>
            <bottom style="thin">
              <color rgb="FF999999"/>
            </bottom>
            <vertical/>
            <horizontal/>
          </border>
        </dxf>
        <dxf>
          <font>
            <sz val="14"/>
            <color rgb="FF0052CC"/>
            <name val="Consolas"/>
            <family val="3"/>
            <scheme val="none"/>
          </font>
          <fill>
            <patternFill patternType="solid">
              <fgColor rgb="FFFFFFFF"/>
              <bgColor rgb="FFFFFFFF"/>
            </patternFill>
          </fill>
          <border diagonalUp="0" diagonalDown="0">
            <left/>
            <right/>
            <top/>
            <bottom/>
            <vertical/>
            <horizontal/>
          </border>
        </dxf>
        <dxf>
          <font>
            <sz val="14"/>
            <color rgb="FF00398F"/>
            <name val="Consolas"/>
            <family val="3"/>
            <scheme val="none"/>
          </font>
          <fill>
            <patternFill patternType="solid">
              <fgColor rgb="FFFFFFFF"/>
              <bgColor rgb="FFFFFFFF"/>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approval prediction data.xlsx]Loan Approval Distribution!PivotTable9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Consolas" panose="020B0609020204030204" pitchFamily="49" charset="0"/>
              </a:rPr>
              <a:t>Loan</a:t>
            </a:r>
            <a:r>
              <a:rPr lang="en-US" baseline="0">
                <a:latin typeface="Consolas" panose="020B0609020204030204" pitchFamily="49" charset="0"/>
              </a:rPr>
              <a:t> Approval Distribtion</a:t>
            </a:r>
            <a:endParaRPr lang="en-US">
              <a:latin typeface="Consolas" panose="020B0609020204030204" pitchFamily="49"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90000"/>
              <a:lumOff val="1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05B90"/>
          </a:solidFill>
          <a:ln w="19050">
            <a:noFill/>
          </a:ln>
          <a:effectLst/>
        </c:spPr>
      </c:pivotFmt>
      <c:pivotFmt>
        <c:idx val="2"/>
        <c:spPr>
          <a:solidFill>
            <a:schemeClr val="tx2">
              <a:lumMod val="90000"/>
              <a:lumOff val="10000"/>
            </a:schemeClr>
          </a:solidFill>
          <a:ln w="19050">
            <a:noFill/>
          </a:ln>
          <a:effectLst/>
        </c:spPr>
      </c:pivotFmt>
    </c:pivotFmts>
    <c:plotArea>
      <c:layout/>
      <c:pieChart>
        <c:varyColors val="1"/>
        <c:ser>
          <c:idx val="0"/>
          <c:order val="0"/>
          <c:tx>
            <c:strRef>
              <c:f>'Loan Approval Distribution'!$B$3</c:f>
              <c:strCache>
                <c:ptCount val="1"/>
                <c:pt idx="0">
                  <c:v>Total</c:v>
                </c:pt>
              </c:strCache>
            </c:strRef>
          </c:tx>
          <c:spPr>
            <a:solidFill>
              <a:schemeClr val="tx2">
                <a:lumMod val="90000"/>
                <a:lumOff val="10000"/>
              </a:schemeClr>
            </a:solidFill>
            <a:ln>
              <a:noFill/>
            </a:ln>
          </c:spPr>
          <c:dPt>
            <c:idx val="0"/>
            <c:bubble3D val="0"/>
            <c:spPr>
              <a:solidFill>
                <a:srgbClr val="205B90"/>
              </a:solidFill>
              <a:ln w="19050">
                <a:noFill/>
              </a:ln>
              <a:effectLst/>
            </c:spPr>
            <c:extLst>
              <c:ext xmlns:c16="http://schemas.microsoft.com/office/drawing/2014/chart" uri="{C3380CC4-5D6E-409C-BE32-E72D297353CC}">
                <c16:uniqueId val="{00000002-A51B-4895-94AF-D04E58D48350}"/>
              </c:ext>
            </c:extLst>
          </c:dPt>
          <c:dPt>
            <c:idx val="1"/>
            <c:bubble3D val="0"/>
            <c:spPr>
              <a:solidFill>
                <a:schemeClr val="tx2">
                  <a:lumMod val="90000"/>
                  <a:lumOff val="10000"/>
                </a:schemeClr>
              </a:solidFill>
              <a:ln w="19050">
                <a:noFill/>
              </a:ln>
              <a:effectLst/>
            </c:spPr>
            <c:extLst>
              <c:ext xmlns:c16="http://schemas.microsoft.com/office/drawing/2014/chart" uri="{C3380CC4-5D6E-409C-BE32-E72D297353CC}">
                <c16:uniqueId val="{00000003-D40D-4E2E-A57F-EB4B68459FAC}"/>
              </c:ext>
            </c:extLst>
          </c:dPt>
          <c:dLbls>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'Loan Approval Distribution'!$A$4:$A$6</c:f>
              <c:strCache>
                <c:ptCount val="2"/>
                <c:pt idx="0">
                  <c:v>Approved</c:v>
                </c:pt>
                <c:pt idx="1">
                  <c:v>Rejected</c:v>
                </c:pt>
              </c:strCache>
            </c:strRef>
          </c:cat>
          <c:val>
            <c:numRef>
              <c:f>'Loan Approval Distribution'!$B$4:$B$6</c:f>
              <c:numCache>
                <c:formatCode>General</c:formatCode>
                <c:ptCount val="2"/>
                <c:pt idx="0">
                  <c:v>179</c:v>
                </c:pt>
                <c:pt idx="1">
                  <c:v>188</c:v>
                </c:pt>
              </c:numCache>
            </c:numRef>
          </c:val>
          <c:extLst>
            <c:ext xmlns:c16="http://schemas.microsoft.com/office/drawing/2014/chart" uri="{C3380CC4-5D6E-409C-BE32-E72D297353CC}">
              <c16:uniqueId val="{00000000-A51B-4895-94AF-D04E58D4835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srgbClr val="0052CC">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approval prediction data.xlsx]EDUCATION IMPACT ON LOAN APPROV!PivotTable1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Consolas" panose="020B0609020204030204" pitchFamily="49" charset="0"/>
              </a:rPr>
              <a:t>Education</a:t>
            </a:r>
            <a:r>
              <a:rPr lang="en-US" baseline="0">
                <a:latin typeface="Consolas" panose="020B0609020204030204" pitchFamily="49" charset="0"/>
              </a:rPr>
              <a:t> Impact on Loan Approval</a:t>
            </a:r>
            <a:endParaRPr lang="en-US">
              <a:latin typeface="Consolas" panose="020B0609020204030204" pitchFamily="49"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lumOff val="25000"/>
            </a:schemeClr>
          </a:solidFill>
          <a:ln w="1905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tx2">
              <a:lumMod val="50000"/>
              <a:lumOff val="50000"/>
            </a:schemeClr>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90000"/>
              <a:lumOff val="1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90000"/>
              <a:lumOff val="10000"/>
            </a:schemeClr>
          </a:solidFill>
          <a:ln w="19050">
            <a:noFill/>
          </a:ln>
          <a:effectLst/>
        </c:spPr>
      </c:pivotFmt>
      <c:pivotFmt>
        <c:idx val="6"/>
        <c:spPr>
          <a:solidFill>
            <a:schemeClr val="tx2">
              <a:lumMod val="90000"/>
              <a:lumOff val="10000"/>
            </a:schemeClr>
          </a:solidFill>
          <a:ln w="19050">
            <a:no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s>
    <c:plotArea>
      <c:layout/>
      <c:barChart>
        <c:barDir val="col"/>
        <c:grouping val="clustered"/>
        <c:varyColors val="0"/>
        <c:ser>
          <c:idx val="0"/>
          <c:order val="0"/>
          <c:tx>
            <c:strRef>
              <c:f>'EDUCATION IMPACT ON LOAN APPROV'!$B$3:$B$4</c:f>
              <c:strCache>
                <c:ptCount val="1"/>
                <c:pt idx="0">
                  <c:v>Approved</c:v>
                </c:pt>
              </c:strCache>
            </c:strRef>
          </c:tx>
          <c:spPr>
            <a:solidFill>
              <a:schemeClr val="tx2">
                <a:lumMod val="90000"/>
                <a:lumOff val="10000"/>
              </a:schemeClr>
            </a:solidFill>
            <a:ln w="19050">
              <a:noFill/>
            </a:ln>
            <a:effectLst/>
          </c:spPr>
          <c:invertIfNegative val="0"/>
          <c:cat>
            <c:strRef>
              <c:f>'EDUCATION IMPACT ON LOAN APPROV'!$A$5:$A$7</c:f>
              <c:strCache>
                <c:ptCount val="2"/>
                <c:pt idx="0">
                  <c:v>Graduate</c:v>
                </c:pt>
                <c:pt idx="1">
                  <c:v>Not Graduate</c:v>
                </c:pt>
              </c:strCache>
            </c:strRef>
          </c:cat>
          <c:val>
            <c:numRef>
              <c:f>'EDUCATION IMPACT ON LOAN APPROV'!$B$5:$B$7</c:f>
              <c:numCache>
                <c:formatCode>0.00%</c:formatCode>
                <c:ptCount val="2"/>
                <c:pt idx="0">
                  <c:v>0.8044692737430168</c:v>
                </c:pt>
                <c:pt idx="1">
                  <c:v>0.19553072625698323</c:v>
                </c:pt>
              </c:numCache>
            </c:numRef>
          </c:val>
          <c:extLst>
            <c:ext xmlns:c16="http://schemas.microsoft.com/office/drawing/2014/chart" uri="{C3380CC4-5D6E-409C-BE32-E72D297353CC}">
              <c16:uniqueId val="{00000000-5008-4654-BC0C-BCABDC3A77D6}"/>
            </c:ext>
          </c:extLst>
        </c:ser>
        <c:ser>
          <c:idx val="1"/>
          <c:order val="1"/>
          <c:tx>
            <c:strRef>
              <c:f>'EDUCATION IMPACT ON LOAN APPROV'!$C$3:$C$4</c:f>
              <c:strCache>
                <c:ptCount val="1"/>
                <c:pt idx="0">
                  <c:v>Rejected</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IMPACT ON LOAN APPROV'!$A$5:$A$7</c:f>
              <c:strCache>
                <c:ptCount val="2"/>
                <c:pt idx="0">
                  <c:v>Graduate</c:v>
                </c:pt>
                <c:pt idx="1">
                  <c:v>Not Graduate</c:v>
                </c:pt>
              </c:strCache>
            </c:strRef>
          </c:cat>
          <c:val>
            <c:numRef>
              <c:f>'EDUCATION IMPACT ON LOAN APPROV'!$C$5:$C$7</c:f>
              <c:numCache>
                <c:formatCode>0.00%</c:formatCode>
                <c:ptCount val="2"/>
                <c:pt idx="0">
                  <c:v>0</c:v>
                </c:pt>
                <c:pt idx="1">
                  <c:v>0</c:v>
                </c:pt>
              </c:numCache>
            </c:numRef>
          </c:val>
          <c:extLst>
            <c:ext xmlns:c16="http://schemas.microsoft.com/office/drawing/2014/chart" uri="{C3380CC4-5D6E-409C-BE32-E72D297353CC}">
              <c16:uniqueId val="{00000004-5008-4654-BC0C-BCABDC3A77D6}"/>
            </c:ext>
          </c:extLst>
        </c:ser>
        <c:dLbls>
          <c:showLegendKey val="0"/>
          <c:showVal val="0"/>
          <c:showCatName val="0"/>
          <c:showSerName val="0"/>
          <c:showPercent val="0"/>
          <c:showBubbleSize val="0"/>
        </c:dLbls>
        <c:gapWidth val="150"/>
        <c:axId val="1188731968"/>
        <c:axId val="1188746848"/>
      </c:barChart>
      <c:catAx>
        <c:axId val="11887319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50" b="0" i="0" u="none" strike="noStrike" kern="1200" baseline="0">
                <a:solidFill>
                  <a:schemeClr val="tx1">
                    <a:lumMod val="65000"/>
                    <a:lumOff val="35000"/>
                  </a:schemeClr>
                </a:solidFill>
                <a:latin typeface="+mn-lt"/>
                <a:ea typeface="+mn-ea"/>
                <a:cs typeface="+mn-cs"/>
              </a:defRPr>
            </a:pPr>
            <a:endParaRPr lang="en-US"/>
          </a:p>
        </c:txPr>
        <c:crossAx val="1188746848"/>
        <c:crosses val="autoZero"/>
        <c:auto val="1"/>
        <c:lblAlgn val="ctr"/>
        <c:lblOffset val="100"/>
        <c:noMultiLvlLbl val="0"/>
      </c:catAx>
      <c:valAx>
        <c:axId val="1188746848"/>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188731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srgbClr val="0052CC">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approval prediction data.xlsx]SELF EMPLOYED VS LOAN APPROVAL!PivotTable1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Consolas" panose="020B0609020204030204" pitchFamily="49" charset="0"/>
              </a:rPr>
              <a:t>Self</a:t>
            </a:r>
            <a:r>
              <a:rPr lang="en-US" baseline="0">
                <a:latin typeface="Consolas" panose="020B0609020204030204" pitchFamily="49" charset="0"/>
              </a:rPr>
              <a:t>-Employed vs Loan Approval</a:t>
            </a:r>
            <a:endParaRPr lang="en-US">
              <a:latin typeface="Consolas" panose="020B0609020204030204" pitchFamily="49"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lumOff val="2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1.5305555555555555E-2"/>
              <c:y val="1.3888888888888888E-2"/>
            </c:manualLayout>
          </c:layout>
          <c:spPr>
            <a:noFill/>
            <a:ln>
              <a:solidFill>
                <a:schemeClr val="bg1"/>
              </a:solid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w="19050">
            <a:solidFill>
              <a:schemeClr val="lt1"/>
            </a:solidFill>
          </a:ln>
          <a:effectLst/>
        </c:spPr>
        <c:dLbl>
          <c:idx val="0"/>
          <c:layout>
            <c:manualLayout>
              <c:x val="4.74956255468069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25000"/>
              <a:lumOff val="75000"/>
            </a:schemeClr>
          </a:solidFill>
          <a:ln w="19050">
            <a:solidFill>
              <a:schemeClr val="lt1"/>
            </a:solidFill>
          </a:ln>
          <a:effectLst/>
        </c:spPr>
        <c:dLbl>
          <c:idx val="0"/>
          <c:layout>
            <c:manualLayout>
              <c:x val="1.0125546806649168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90000"/>
              <a:lumOff val="1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266BAA"/>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'SELF EMPLOYED VS LOAN APPROVAL'!$B$3:$B$4</c:f>
              <c:strCache>
                <c:ptCount val="1"/>
                <c:pt idx="0">
                  <c:v>Approved</c:v>
                </c:pt>
              </c:strCache>
            </c:strRef>
          </c:tx>
          <c:spPr>
            <a:solidFill>
              <a:schemeClr val="tx2">
                <a:lumMod val="90000"/>
                <a:lumOff val="10000"/>
              </a:schemeClr>
            </a:solidFill>
            <a:ln w="19050">
              <a:noFill/>
            </a:ln>
            <a:effectLst/>
          </c:spPr>
          <c:invertIfNegative val="0"/>
          <c:cat>
            <c:strRef>
              <c:f>'SELF EMPLOYED VS LOAN APPROVAL'!$A$5:$A$8</c:f>
              <c:strCache>
                <c:ptCount val="3"/>
                <c:pt idx="0">
                  <c:v>No</c:v>
                </c:pt>
                <c:pt idx="1">
                  <c:v>Yes</c:v>
                </c:pt>
                <c:pt idx="2">
                  <c:v>(blank)</c:v>
                </c:pt>
              </c:strCache>
            </c:strRef>
          </c:cat>
          <c:val>
            <c:numRef>
              <c:f>'SELF EMPLOYED VS LOAN APPROVAL'!$B$5:$B$8</c:f>
              <c:numCache>
                <c:formatCode>General</c:formatCode>
                <c:ptCount val="3"/>
                <c:pt idx="0">
                  <c:v>154</c:v>
                </c:pt>
                <c:pt idx="1">
                  <c:v>19</c:v>
                </c:pt>
                <c:pt idx="2">
                  <c:v>6</c:v>
                </c:pt>
              </c:numCache>
            </c:numRef>
          </c:val>
          <c:extLst>
            <c:ext xmlns:c16="http://schemas.microsoft.com/office/drawing/2014/chart" uri="{C3380CC4-5D6E-409C-BE32-E72D297353CC}">
              <c16:uniqueId val="{00000005-551C-443A-ABF2-FFA858FFB0DE}"/>
            </c:ext>
          </c:extLst>
        </c:ser>
        <c:ser>
          <c:idx val="1"/>
          <c:order val="1"/>
          <c:tx>
            <c:strRef>
              <c:f>'SELF EMPLOYED VS LOAN APPROVAL'!$C$3:$C$4</c:f>
              <c:strCache>
                <c:ptCount val="1"/>
                <c:pt idx="0">
                  <c:v>Rejected</c:v>
                </c:pt>
              </c:strCache>
            </c:strRef>
          </c:tx>
          <c:spPr>
            <a:solidFill>
              <a:srgbClr val="266BAA"/>
            </a:solidFill>
            <a:ln w="19050">
              <a:noFill/>
            </a:ln>
            <a:effectLst/>
          </c:spPr>
          <c:invertIfNegative val="0"/>
          <c:cat>
            <c:strRef>
              <c:f>'SELF EMPLOYED VS LOAN APPROVAL'!$A$5:$A$8</c:f>
              <c:strCache>
                <c:ptCount val="3"/>
                <c:pt idx="0">
                  <c:v>No</c:v>
                </c:pt>
                <c:pt idx="1">
                  <c:v>Yes</c:v>
                </c:pt>
                <c:pt idx="2">
                  <c:v>(blank)</c:v>
                </c:pt>
              </c:strCache>
            </c:strRef>
          </c:cat>
          <c:val>
            <c:numRef>
              <c:f>'SELF EMPLOYED VS LOAN APPROVAL'!$C$5:$C$8</c:f>
              <c:numCache>
                <c:formatCode>General</c:formatCode>
                <c:ptCount val="3"/>
                <c:pt idx="0">
                  <c:v>153</c:v>
                </c:pt>
                <c:pt idx="1">
                  <c:v>18</c:v>
                </c:pt>
                <c:pt idx="2">
                  <c:v>17</c:v>
                </c:pt>
              </c:numCache>
            </c:numRef>
          </c:val>
          <c:extLst>
            <c:ext xmlns:c16="http://schemas.microsoft.com/office/drawing/2014/chart" uri="{C3380CC4-5D6E-409C-BE32-E72D297353CC}">
              <c16:uniqueId val="{00000006-551C-443A-ABF2-FFA858FFB0DE}"/>
            </c:ext>
          </c:extLst>
        </c:ser>
        <c:dLbls>
          <c:showLegendKey val="0"/>
          <c:showVal val="0"/>
          <c:showCatName val="0"/>
          <c:showSerName val="0"/>
          <c:showPercent val="0"/>
          <c:showBubbleSize val="0"/>
        </c:dLbls>
        <c:gapWidth val="150"/>
        <c:axId val="1188736768"/>
        <c:axId val="1188748288"/>
      </c:barChart>
      <c:valAx>
        <c:axId val="1188748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50" b="0" i="0" u="none" strike="noStrike" kern="1200" baseline="0">
                <a:solidFill>
                  <a:schemeClr val="tx1">
                    <a:lumMod val="65000"/>
                    <a:lumOff val="35000"/>
                  </a:schemeClr>
                </a:solidFill>
                <a:latin typeface="+mn-lt"/>
                <a:ea typeface="+mn-ea"/>
                <a:cs typeface="+mn-cs"/>
              </a:defRPr>
            </a:pPr>
            <a:endParaRPr lang="en-US"/>
          </a:p>
        </c:txPr>
        <c:crossAx val="1188736768"/>
        <c:crosses val="autoZero"/>
        <c:crossBetween val="between"/>
      </c:valAx>
      <c:catAx>
        <c:axId val="11887367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50" b="0" i="0" u="none" strike="noStrike" kern="1200" baseline="0">
                <a:solidFill>
                  <a:schemeClr val="tx1">
                    <a:lumMod val="65000"/>
                    <a:lumOff val="35000"/>
                  </a:schemeClr>
                </a:solidFill>
                <a:latin typeface="+mn-lt"/>
                <a:ea typeface="+mn-ea"/>
                <a:cs typeface="+mn-cs"/>
              </a:defRPr>
            </a:pPr>
            <a:endParaRPr lang="en-US"/>
          </a:p>
        </c:txPr>
        <c:crossAx val="11887482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1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srgbClr val="0052CC">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approval prediction data.xlsx]DEPENDENTS VS LOAN APPROVAL!PivotTable16</c:name>
    <c:fmtId val="0"/>
  </c:pivotSource>
  <c:chart>
    <c:autoTitleDeleted val="0"/>
    <c:pivotFmts>
      <c:pivotFmt>
        <c:idx val="0"/>
        <c:spPr>
          <a:solidFill>
            <a:srgbClr val="0039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D86D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'DEPENDENTS VS LOAN APPROVAL'!$B$3:$B$4</c:f>
              <c:strCache>
                <c:ptCount val="1"/>
                <c:pt idx="0">
                  <c:v>Approved</c:v>
                </c:pt>
              </c:strCache>
            </c:strRef>
          </c:tx>
          <c:spPr>
            <a:solidFill>
              <a:srgbClr val="00398F"/>
            </a:solidFill>
            <a:ln>
              <a:noFill/>
            </a:ln>
            <a:effectLst/>
          </c:spPr>
          <c:invertIfNegative val="0"/>
          <c:cat>
            <c:strRef>
              <c:f>'DEPENDENTS VS LOAN APPROVAL'!$A$5:$A$26</c:f>
              <c:strCache>
                <c:ptCount val="21"/>
                <c:pt idx="1">
                  <c:v>0</c:v>
                </c:pt>
                <c:pt idx="2">
                  <c:v>1</c:v>
                </c:pt>
                <c:pt idx="3">
                  <c:v>10</c:v>
                </c:pt>
                <c:pt idx="4">
                  <c:v>11</c:v>
                </c:pt>
                <c:pt idx="5">
                  <c:v>12</c:v>
                </c:pt>
                <c:pt idx="6">
                  <c:v>13</c:v>
                </c:pt>
                <c:pt idx="7">
                  <c:v>14</c:v>
                </c:pt>
                <c:pt idx="8">
                  <c:v>15</c:v>
                </c:pt>
                <c:pt idx="9">
                  <c:v>16</c:v>
                </c:pt>
                <c:pt idx="10">
                  <c:v>17</c:v>
                </c:pt>
                <c:pt idx="11">
                  <c:v>18</c:v>
                </c:pt>
                <c:pt idx="12">
                  <c:v>2</c:v>
                </c:pt>
                <c:pt idx="13">
                  <c:v>3</c:v>
                </c:pt>
                <c:pt idx="14">
                  <c:v>3+</c:v>
                </c:pt>
                <c:pt idx="15">
                  <c:v>4</c:v>
                </c:pt>
                <c:pt idx="16">
                  <c:v>5</c:v>
                </c:pt>
                <c:pt idx="17">
                  <c:v>6</c:v>
                </c:pt>
                <c:pt idx="18">
                  <c:v>7</c:v>
                </c:pt>
                <c:pt idx="19">
                  <c:v>8</c:v>
                </c:pt>
                <c:pt idx="20">
                  <c:v>9</c:v>
                </c:pt>
              </c:strCache>
            </c:strRef>
          </c:cat>
          <c:val>
            <c:numRef>
              <c:f>'DEPENDENTS VS LOAN APPROVAL'!$B$5:$B$26</c:f>
              <c:numCache>
                <c:formatCode>General</c:formatCode>
                <c:ptCount val="21"/>
                <c:pt idx="0">
                  <c:v>6</c:v>
                </c:pt>
                <c:pt idx="1">
                  <c:v>95</c:v>
                </c:pt>
                <c:pt idx="2">
                  <c:v>25</c:v>
                </c:pt>
                <c:pt idx="4">
                  <c:v>1</c:v>
                </c:pt>
                <c:pt idx="7">
                  <c:v>1</c:v>
                </c:pt>
                <c:pt idx="8">
                  <c:v>1</c:v>
                </c:pt>
                <c:pt idx="10">
                  <c:v>1</c:v>
                </c:pt>
                <c:pt idx="11">
                  <c:v>1</c:v>
                </c:pt>
                <c:pt idx="12">
                  <c:v>27</c:v>
                </c:pt>
                <c:pt idx="14">
                  <c:v>17</c:v>
                </c:pt>
                <c:pt idx="15">
                  <c:v>1</c:v>
                </c:pt>
                <c:pt idx="16">
                  <c:v>1</c:v>
                </c:pt>
                <c:pt idx="18">
                  <c:v>1</c:v>
                </c:pt>
                <c:pt idx="19">
                  <c:v>1</c:v>
                </c:pt>
              </c:numCache>
            </c:numRef>
          </c:val>
          <c:extLst>
            <c:ext xmlns:c16="http://schemas.microsoft.com/office/drawing/2014/chart" uri="{C3380CC4-5D6E-409C-BE32-E72D297353CC}">
              <c16:uniqueId val="{00000000-97E5-421C-A056-D7AD110A7AB7}"/>
            </c:ext>
          </c:extLst>
        </c:ser>
        <c:ser>
          <c:idx val="1"/>
          <c:order val="1"/>
          <c:tx>
            <c:strRef>
              <c:f>'DEPENDENTS VS LOAN APPROVAL'!$C$3:$C$4</c:f>
              <c:strCache>
                <c:ptCount val="1"/>
                <c:pt idx="0">
                  <c:v>Rejected</c:v>
                </c:pt>
              </c:strCache>
            </c:strRef>
          </c:tx>
          <c:spPr>
            <a:solidFill>
              <a:srgbClr val="4D86DB"/>
            </a:solidFill>
            <a:ln>
              <a:noFill/>
            </a:ln>
            <a:effectLst/>
          </c:spPr>
          <c:invertIfNegative val="0"/>
          <c:cat>
            <c:strRef>
              <c:f>'DEPENDENTS VS LOAN APPROVAL'!$A$5:$A$26</c:f>
              <c:strCache>
                <c:ptCount val="21"/>
                <c:pt idx="1">
                  <c:v>0</c:v>
                </c:pt>
                <c:pt idx="2">
                  <c:v>1</c:v>
                </c:pt>
                <c:pt idx="3">
                  <c:v>10</c:v>
                </c:pt>
                <c:pt idx="4">
                  <c:v>11</c:v>
                </c:pt>
                <c:pt idx="5">
                  <c:v>12</c:v>
                </c:pt>
                <c:pt idx="6">
                  <c:v>13</c:v>
                </c:pt>
                <c:pt idx="7">
                  <c:v>14</c:v>
                </c:pt>
                <c:pt idx="8">
                  <c:v>15</c:v>
                </c:pt>
                <c:pt idx="9">
                  <c:v>16</c:v>
                </c:pt>
                <c:pt idx="10">
                  <c:v>17</c:v>
                </c:pt>
                <c:pt idx="11">
                  <c:v>18</c:v>
                </c:pt>
                <c:pt idx="12">
                  <c:v>2</c:v>
                </c:pt>
                <c:pt idx="13">
                  <c:v>3</c:v>
                </c:pt>
                <c:pt idx="14">
                  <c:v>3+</c:v>
                </c:pt>
                <c:pt idx="15">
                  <c:v>4</c:v>
                </c:pt>
                <c:pt idx="16">
                  <c:v>5</c:v>
                </c:pt>
                <c:pt idx="17">
                  <c:v>6</c:v>
                </c:pt>
                <c:pt idx="18">
                  <c:v>7</c:v>
                </c:pt>
                <c:pt idx="19">
                  <c:v>8</c:v>
                </c:pt>
                <c:pt idx="20">
                  <c:v>9</c:v>
                </c:pt>
              </c:strCache>
            </c:strRef>
          </c:cat>
          <c:val>
            <c:numRef>
              <c:f>'DEPENDENTS VS LOAN APPROVAL'!$C$5:$C$26</c:f>
              <c:numCache>
                <c:formatCode>General</c:formatCode>
                <c:ptCount val="21"/>
                <c:pt idx="0">
                  <c:v>4</c:v>
                </c:pt>
                <c:pt idx="1">
                  <c:v>99</c:v>
                </c:pt>
                <c:pt idx="2">
                  <c:v>30</c:v>
                </c:pt>
                <c:pt idx="3">
                  <c:v>1</c:v>
                </c:pt>
                <c:pt idx="5">
                  <c:v>1</c:v>
                </c:pt>
                <c:pt idx="6">
                  <c:v>1</c:v>
                </c:pt>
                <c:pt idx="9">
                  <c:v>1</c:v>
                </c:pt>
                <c:pt idx="12">
                  <c:v>27</c:v>
                </c:pt>
                <c:pt idx="13">
                  <c:v>1</c:v>
                </c:pt>
                <c:pt idx="14">
                  <c:v>21</c:v>
                </c:pt>
                <c:pt idx="17">
                  <c:v>1</c:v>
                </c:pt>
                <c:pt idx="20">
                  <c:v>1</c:v>
                </c:pt>
              </c:numCache>
            </c:numRef>
          </c:val>
          <c:extLst>
            <c:ext xmlns:c16="http://schemas.microsoft.com/office/drawing/2014/chart" uri="{C3380CC4-5D6E-409C-BE32-E72D297353CC}">
              <c16:uniqueId val="{00000001-97E5-421C-A056-D7AD110A7AB7}"/>
            </c:ext>
          </c:extLst>
        </c:ser>
        <c:dLbls>
          <c:showLegendKey val="0"/>
          <c:showVal val="0"/>
          <c:showCatName val="0"/>
          <c:showSerName val="0"/>
          <c:showPercent val="0"/>
          <c:showBubbleSize val="0"/>
        </c:dLbls>
        <c:gapWidth val="0"/>
        <c:overlap val="100"/>
        <c:axId val="1504030176"/>
        <c:axId val="1504020576"/>
      </c:barChart>
      <c:catAx>
        <c:axId val="150403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020576"/>
        <c:crosses val="autoZero"/>
        <c:auto val="1"/>
        <c:lblAlgn val="ctr"/>
        <c:lblOffset val="100"/>
        <c:noMultiLvlLbl val="0"/>
      </c:catAx>
      <c:valAx>
        <c:axId val="1504020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03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srgbClr val="0042A3">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approval prediction data.xlsx]CREDIT HISTORY IMPACT ON LOAN A!PivotTable1</c:name>
    <c:fmtId val="0"/>
  </c:pivotSource>
  <c:chart>
    <c:autoTitleDeleted val="0"/>
    <c:pivotFmts>
      <c:pivotFmt>
        <c:idx val="0"/>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'CREDIT HISTORY IMPACT ON LOAN A'!$B$3:$B$4</c:f>
              <c:strCache>
                <c:ptCount val="1"/>
                <c:pt idx="0">
                  <c:v>Approved</c:v>
                </c:pt>
              </c:strCache>
            </c:strRef>
          </c:tx>
          <c:spPr>
            <a:solidFill>
              <a:schemeClr val="tx2">
                <a:lumMod val="90000"/>
                <a:lumOff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'CREDIT HISTORY IMPACT ON LOAN A'!$A$5:$A$8</c:f>
              <c:strCache>
                <c:ptCount val="3"/>
                <c:pt idx="0">
                  <c:v>0</c:v>
                </c:pt>
                <c:pt idx="1">
                  <c:v>1</c:v>
                </c:pt>
                <c:pt idx="2">
                  <c:v>(blank)</c:v>
                </c:pt>
              </c:strCache>
            </c:strRef>
          </c:cat>
          <c:val>
            <c:numRef>
              <c:f>'CREDIT HISTORY IMPACT ON LOAN A'!$B$5:$B$8</c:f>
              <c:numCache>
                <c:formatCode>General</c:formatCode>
                <c:ptCount val="3"/>
                <c:pt idx="1">
                  <c:v>179</c:v>
                </c:pt>
              </c:numCache>
            </c:numRef>
          </c:val>
          <c:extLst>
            <c:ext xmlns:c16="http://schemas.microsoft.com/office/drawing/2014/chart" uri="{C3380CC4-5D6E-409C-BE32-E72D297353CC}">
              <c16:uniqueId val="{00000000-4501-4FD3-AF5B-2E4F6C474EEC}"/>
            </c:ext>
          </c:extLst>
        </c:ser>
        <c:ser>
          <c:idx val="1"/>
          <c:order val="1"/>
          <c:tx>
            <c:strRef>
              <c:f>'CREDIT HISTORY IMPACT ON LOAN A'!$C$3:$C$4</c:f>
              <c:strCache>
                <c:ptCount val="1"/>
                <c:pt idx="0">
                  <c:v>Rejected</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'CREDIT HISTORY IMPACT ON LOAN A'!$A$5:$A$8</c:f>
              <c:strCache>
                <c:ptCount val="3"/>
                <c:pt idx="0">
                  <c:v>0</c:v>
                </c:pt>
                <c:pt idx="1">
                  <c:v>1</c:v>
                </c:pt>
                <c:pt idx="2">
                  <c:v>(blank)</c:v>
                </c:pt>
              </c:strCache>
            </c:strRef>
          </c:cat>
          <c:val>
            <c:numRef>
              <c:f>'CREDIT HISTORY IMPACT ON LOAN A'!$C$5:$C$8</c:f>
              <c:numCache>
                <c:formatCode>General</c:formatCode>
                <c:ptCount val="3"/>
                <c:pt idx="0">
                  <c:v>59</c:v>
                </c:pt>
                <c:pt idx="1">
                  <c:v>100</c:v>
                </c:pt>
                <c:pt idx="2">
                  <c:v>29</c:v>
                </c:pt>
              </c:numCache>
            </c:numRef>
          </c:val>
          <c:extLst>
            <c:ext xmlns:c16="http://schemas.microsoft.com/office/drawing/2014/chart" uri="{C3380CC4-5D6E-409C-BE32-E72D297353CC}">
              <c16:uniqueId val="{00000001-4501-4FD3-AF5B-2E4F6C474EEC}"/>
            </c:ext>
          </c:extLst>
        </c:ser>
        <c:dLbls>
          <c:dLblPos val="ctr"/>
          <c:showLegendKey val="0"/>
          <c:showVal val="1"/>
          <c:showCatName val="0"/>
          <c:showSerName val="0"/>
          <c:showPercent val="0"/>
          <c:showBubbleSize val="0"/>
        </c:dLbls>
        <c:gapWidth val="150"/>
        <c:overlap val="100"/>
        <c:axId val="1188757408"/>
        <c:axId val="1188738208"/>
      </c:barChart>
      <c:catAx>
        <c:axId val="118875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50" b="0" i="0" u="none" strike="noStrike" kern="1200" baseline="0">
                <a:solidFill>
                  <a:schemeClr val="tx1">
                    <a:lumMod val="65000"/>
                    <a:lumOff val="35000"/>
                  </a:schemeClr>
                </a:solidFill>
                <a:latin typeface="+mn-lt"/>
                <a:ea typeface="+mn-ea"/>
                <a:cs typeface="+mn-cs"/>
              </a:defRPr>
            </a:pPr>
            <a:endParaRPr lang="en-US"/>
          </a:p>
        </c:txPr>
        <c:crossAx val="1188738208"/>
        <c:crosses val="autoZero"/>
        <c:auto val="1"/>
        <c:lblAlgn val="ctr"/>
        <c:lblOffset val="100"/>
        <c:noMultiLvlLbl val="0"/>
      </c:catAx>
      <c:valAx>
        <c:axId val="1188738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50" b="0" i="0" u="none" strike="noStrike" kern="1200" baseline="0">
                <a:solidFill>
                  <a:schemeClr val="tx1">
                    <a:lumMod val="65000"/>
                    <a:lumOff val="35000"/>
                  </a:schemeClr>
                </a:solidFill>
                <a:latin typeface="+mn-lt"/>
                <a:ea typeface="+mn-ea"/>
                <a:cs typeface="+mn-cs"/>
              </a:defRPr>
            </a:pPr>
            <a:endParaRPr lang="en-US"/>
          </a:p>
        </c:txPr>
        <c:crossAx val="118875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schemeClr val="tx2">
          <a:lumMod val="90000"/>
          <a:lumOff val="1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approval prediction data.xlsx]CREDIT HISTORY IMPACT ON LOAN A!PivotTable1</c:name>
    <c:fmtId val="2"/>
  </c:pivotSource>
  <c:chart>
    <c:autoTitleDeleted val="0"/>
    <c:pivotFmts>
      <c:pivotFmt>
        <c:idx val="0"/>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52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D86D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19487179487179"/>
          <c:y val="3.2117561712914182E-2"/>
          <c:w val="0.53297960831819102"/>
          <c:h val="0.89376087739555177"/>
        </c:manualLayout>
      </c:layout>
      <c:barChart>
        <c:barDir val="col"/>
        <c:grouping val="stacked"/>
        <c:varyColors val="0"/>
        <c:ser>
          <c:idx val="0"/>
          <c:order val="0"/>
          <c:tx>
            <c:strRef>
              <c:f>'CREDIT HISTORY IMPACT ON LOAN A'!$B$3:$B$4</c:f>
              <c:strCache>
                <c:ptCount val="1"/>
                <c:pt idx="0">
                  <c:v>Approved</c:v>
                </c:pt>
              </c:strCache>
            </c:strRef>
          </c:tx>
          <c:spPr>
            <a:solidFill>
              <a:srgbClr val="0052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'CREDIT HISTORY IMPACT ON LOAN A'!$A$5:$A$8</c:f>
              <c:strCache>
                <c:ptCount val="3"/>
                <c:pt idx="0">
                  <c:v>0</c:v>
                </c:pt>
                <c:pt idx="1">
                  <c:v>1</c:v>
                </c:pt>
                <c:pt idx="2">
                  <c:v>(blank)</c:v>
                </c:pt>
              </c:strCache>
            </c:strRef>
          </c:cat>
          <c:val>
            <c:numRef>
              <c:f>'CREDIT HISTORY IMPACT ON LOAN A'!$B$5:$B$8</c:f>
              <c:numCache>
                <c:formatCode>General</c:formatCode>
                <c:ptCount val="3"/>
                <c:pt idx="1">
                  <c:v>179</c:v>
                </c:pt>
              </c:numCache>
            </c:numRef>
          </c:val>
          <c:extLst>
            <c:ext xmlns:c16="http://schemas.microsoft.com/office/drawing/2014/chart" uri="{C3380CC4-5D6E-409C-BE32-E72D297353CC}">
              <c16:uniqueId val="{00000000-437E-4966-B0AE-E2FA13C396A4}"/>
            </c:ext>
          </c:extLst>
        </c:ser>
        <c:ser>
          <c:idx val="1"/>
          <c:order val="1"/>
          <c:tx>
            <c:strRef>
              <c:f>'CREDIT HISTORY IMPACT ON LOAN A'!$C$3:$C$4</c:f>
              <c:strCache>
                <c:ptCount val="1"/>
                <c:pt idx="0">
                  <c:v>Rejected</c:v>
                </c:pt>
              </c:strCache>
            </c:strRef>
          </c:tx>
          <c:spPr>
            <a:solidFill>
              <a:srgbClr val="4D86D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'CREDIT HISTORY IMPACT ON LOAN A'!$A$5:$A$8</c:f>
              <c:strCache>
                <c:ptCount val="3"/>
                <c:pt idx="0">
                  <c:v>0</c:v>
                </c:pt>
                <c:pt idx="1">
                  <c:v>1</c:v>
                </c:pt>
                <c:pt idx="2">
                  <c:v>(blank)</c:v>
                </c:pt>
              </c:strCache>
            </c:strRef>
          </c:cat>
          <c:val>
            <c:numRef>
              <c:f>'CREDIT HISTORY IMPACT ON LOAN A'!$C$5:$C$8</c:f>
              <c:numCache>
                <c:formatCode>General</c:formatCode>
                <c:ptCount val="3"/>
                <c:pt idx="0">
                  <c:v>59</c:v>
                </c:pt>
                <c:pt idx="1">
                  <c:v>100</c:v>
                </c:pt>
                <c:pt idx="2">
                  <c:v>29</c:v>
                </c:pt>
              </c:numCache>
            </c:numRef>
          </c:val>
          <c:extLst>
            <c:ext xmlns:c16="http://schemas.microsoft.com/office/drawing/2014/chart" uri="{C3380CC4-5D6E-409C-BE32-E72D297353CC}">
              <c16:uniqueId val="{00000001-437E-4966-B0AE-E2FA13C396A4}"/>
            </c:ext>
          </c:extLst>
        </c:ser>
        <c:dLbls>
          <c:dLblPos val="ctr"/>
          <c:showLegendKey val="0"/>
          <c:showVal val="1"/>
          <c:showCatName val="0"/>
          <c:showSerName val="0"/>
          <c:showPercent val="0"/>
          <c:showBubbleSize val="0"/>
        </c:dLbls>
        <c:gapWidth val="45"/>
        <c:overlap val="100"/>
        <c:axId val="1188757408"/>
        <c:axId val="1188738208"/>
      </c:barChart>
      <c:catAx>
        <c:axId val="118875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en-US"/>
          </a:p>
        </c:txPr>
        <c:crossAx val="1188738208"/>
        <c:crosses val="autoZero"/>
        <c:auto val="1"/>
        <c:lblAlgn val="ctr"/>
        <c:lblOffset val="100"/>
        <c:noMultiLvlLbl val="0"/>
      </c:catAx>
      <c:valAx>
        <c:axId val="1188738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en-US"/>
          </a:p>
        </c:txPr>
        <c:crossAx val="118875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approval prediction data.xlsx]SELF EMPLOYED VS LOAN APPROVAL!PivotTable1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baseline="0">
                <a:solidFill>
                  <a:srgbClr val="0052CC"/>
                </a:solidFill>
                <a:latin typeface="Consolas" panose="020B0609020204030204" pitchFamily="49" charset="0"/>
              </a:rPr>
              <a:t>Self-Employed vs Loan Approval</a:t>
            </a:r>
          </a:p>
        </c:rich>
      </c:tx>
      <c:layout>
        <c:manualLayout>
          <c:xMode val="edge"/>
          <c:yMode val="edge"/>
          <c:x val="0.12527477893588163"/>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lumOff val="2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1.5305555555555555E-2"/>
              <c:y val="1.3888888888888888E-2"/>
            </c:manualLayout>
          </c:layout>
          <c:spPr>
            <a:noFill/>
            <a:ln>
              <a:solidFill>
                <a:schemeClr val="bg1"/>
              </a:solid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w="19050">
            <a:solidFill>
              <a:schemeClr val="lt1"/>
            </a:solidFill>
          </a:ln>
          <a:effectLst/>
        </c:spPr>
        <c:dLbl>
          <c:idx val="0"/>
          <c:layout>
            <c:manualLayout>
              <c:x val="4.74956255468069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25000"/>
              <a:lumOff val="75000"/>
            </a:schemeClr>
          </a:solidFill>
          <a:ln w="19050">
            <a:solidFill>
              <a:schemeClr val="lt1"/>
            </a:solidFill>
          </a:ln>
          <a:effectLst/>
        </c:spPr>
        <c:dLbl>
          <c:idx val="0"/>
          <c:layout>
            <c:manualLayout>
              <c:x val="1.0125546806649168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90000"/>
              <a:lumOff val="1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266BAA"/>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90000"/>
              <a:lumOff val="1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266BAA"/>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52CC"/>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4D86DB"/>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'SELF EMPLOYED VS LOAN APPROVAL'!$B$3:$B$4</c:f>
              <c:strCache>
                <c:ptCount val="1"/>
                <c:pt idx="0">
                  <c:v>Approved</c:v>
                </c:pt>
              </c:strCache>
            </c:strRef>
          </c:tx>
          <c:spPr>
            <a:solidFill>
              <a:srgbClr val="0052CC"/>
            </a:solidFill>
            <a:ln w="19050">
              <a:noFill/>
            </a:ln>
            <a:effectLst/>
          </c:spPr>
          <c:invertIfNegative val="0"/>
          <c:cat>
            <c:strRef>
              <c:f>'SELF EMPLOYED VS LOAN APPROVAL'!$A$5:$A$8</c:f>
              <c:strCache>
                <c:ptCount val="3"/>
                <c:pt idx="0">
                  <c:v>No</c:v>
                </c:pt>
                <c:pt idx="1">
                  <c:v>Yes</c:v>
                </c:pt>
                <c:pt idx="2">
                  <c:v>(blank)</c:v>
                </c:pt>
              </c:strCache>
            </c:strRef>
          </c:cat>
          <c:val>
            <c:numRef>
              <c:f>'SELF EMPLOYED VS LOAN APPROVAL'!$B$5:$B$8</c:f>
              <c:numCache>
                <c:formatCode>General</c:formatCode>
                <c:ptCount val="3"/>
                <c:pt idx="0">
                  <c:v>154</c:v>
                </c:pt>
                <c:pt idx="1">
                  <c:v>19</c:v>
                </c:pt>
                <c:pt idx="2">
                  <c:v>6</c:v>
                </c:pt>
              </c:numCache>
            </c:numRef>
          </c:val>
          <c:extLst>
            <c:ext xmlns:c16="http://schemas.microsoft.com/office/drawing/2014/chart" uri="{C3380CC4-5D6E-409C-BE32-E72D297353CC}">
              <c16:uniqueId val="{00000000-040C-4AC7-8CC7-2818C1AF9AC4}"/>
            </c:ext>
          </c:extLst>
        </c:ser>
        <c:ser>
          <c:idx val="1"/>
          <c:order val="1"/>
          <c:tx>
            <c:strRef>
              <c:f>'SELF EMPLOYED VS LOAN APPROVAL'!$C$3:$C$4</c:f>
              <c:strCache>
                <c:ptCount val="1"/>
                <c:pt idx="0">
                  <c:v>Rejected</c:v>
                </c:pt>
              </c:strCache>
            </c:strRef>
          </c:tx>
          <c:spPr>
            <a:solidFill>
              <a:srgbClr val="4D86DB"/>
            </a:solidFill>
            <a:ln w="19050">
              <a:noFill/>
            </a:ln>
            <a:effectLst/>
          </c:spPr>
          <c:invertIfNegative val="0"/>
          <c:cat>
            <c:strRef>
              <c:f>'SELF EMPLOYED VS LOAN APPROVAL'!$A$5:$A$8</c:f>
              <c:strCache>
                <c:ptCount val="3"/>
                <c:pt idx="0">
                  <c:v>No</c:v>
                </c:pt>
                <c:pt idx="1">
                  <c:v>Yes</c:v>
                </c:pt>
                <c:pt idx="2">
                  <c:v>(blank)</c:v>
                </c:pt>
              </c:strCache>
            </c:strRef>
          </c:cat>
          <c:val>
            <c:numRef>
              <c:f>'SELF EMPLOYED VS LOAN APPROVAL'!$C$5:$C$8</c:f>
              <c:numCache>
                <c:formatCode>General</c:formatCode>
                <c:ptCount val="3"/>
                <c:pt idx="0">
                  <c:v>153</c:v>
                </c:pt>
                <c:pt idx="1">
                  <c:v>18</c:v>
                </c:pt>
                <c:pt idx="2">
                  <c:v>17</c:v>
                </c:pt>
              </c:numCache>
            </c:numRef>
          </c:val>
          <c:extLst>
            <c:ext xmlns:c16="http://schemas.microsoft.com/office/drawing/2014/chart" uri="{C3380CC4-5D6E-409C-BE32-E72D297353CC}">
              <c16:uniqueId val="{00000001-040C-4AC7-8CC7-2818C1AF9AC4}"/>
            </c:ext>
          </c:extLst>
        </c:ser>
        <c:dLbls>
          <c:showLegendKey val="0"/>
          <c:showVal val="0"/>
          <c:showCatName val="0"/>
          <c:showSerName val="0"/>
          <c:showPercent val="0"/>
          <c:showBubbleSize val="0"/>
        </c:dLbls>
        <c:gapWidth val="150"/>
        <c:axId val="1188736768"/>
        <c:axId val="1188748288"/>
      </c:barChart>
      <c:valAx>
        <c:axId val="1188748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en-US"/>
          </a:p>
        </c:txPr>
        <c:crossAx val="1188736768"/>
        <c:crosses val="autoZero"/>
        <c:crossBetween val="between"/>
      </c:valAx>
      <c:catAx>
        <c:axId val="11887367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en-US"/>
          </a:p>
        </c:txPr>
        <c:crossAx val="11887482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6EEFA"/>
    </a:solidFill>
    <a:ln w="9525" cap="flat" cmpd="sng" algn="ctr">
      <a:noFill/>
      <a:round/>
    </a:ln>
    <a:effectLst>
      <a:outerShdw blurRad="50800" dist="38100" dir="2700000" algn="tl" rotWithShape="0">
        <a:srgbClr val="0052CC">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approval prediction data.xlsx]EDUCATION IMPACT ON LOAN APPROV!PivotTable1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0052CC"/>
                </a:solidFill>
                <a:latin typeface="Consolas" panose="020B0609020204030204" pitchFamily="49" charset="0"/>
              </a:rPr>
              <a:t>Education</a:t>
            </a:r>
            <a:r>
              <a:rPr lang="en-US" sz="1800" b="1" baseline="0">
                <a:solidFill>
                  <a:srgbClr val="0052CC"/>
                </a:solidFill>
                <a:latin typeface="Consolas" panose="020B0609020204030204" pitchFamily="49" charset="0"/>
              </a:rPr>
              <a:t> Impact on Loan Approval</a:t>
            </a:r>
            <a:endParaRPr lang="en-US" sz="1800" b="1">
              <a:solidFill>
                <a:srgbClr val="0052CC"/>
              </a:solidFill>
              <a:latin typeface="Consolas" panose="020B0609020204030204" pitchFamily="49"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lumOff val="25000"/>
            </a:schemeClr>
          </a:solidFill>
          <a:ln w="1905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tx2">
              <a:lumMod val="50000"/>
              <a:lumOff val="50000"/>
            </a:schemeClr>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90000"/>
              <a:lumOff val="10000"/>
            </a:schemeClr>
          </a:solidFill>
          <a:ln w="19050">
            <a:noFill/>
          </a:ln>
          <a:effectLst/>
        </c:spPr>
      </c:pivotFmt>
      <c:pivotFmt>
        <c:idx val="5"/>
        <c:spPr>
          <a:solidFill>
            <a:schemeClr val="tx2">
              <a:lumMod val="90000"/>
              <a:lumOff val="1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52CC"/>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'EDUCATION IMPACT ON LOAN APPROV'!$B$3:$B$4</c:f>
              <c:strCache>
                <c:ptCount val="1"/>
                <c:pt idx="0">
                  <c:v>Approved</c:v>
                </c:pt>
              </c:strCache>
            </c:strRef>
          </c:tx>
          <c:spPr>
            <a:solidFill>
              <a:srgbClr val="0052CC"/>
            </a:solidFill>
            <a:ln w="1905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IMPACT ON LOAN APPROV'!$A$5:$A$7</c:f>
              <c:strCache>
                <c:ptCount val="2"/>
                <c:pt idx="0">
                  <c:v>Graduate</c:v>
                </c:pt>
                <c:pt idx="1">
                  <c:v>Not Graduate</c:v>
                </c:pt>
              </c:strCache>
            </c:strRef>
          </c:cat>
          <c:val>
            <c:numRef>
              <c:f>'EDUCATION IMPACT ON LOAN APPROV'!$B$5:$B$7</c:f>
              <c:numCache>
                <c:formatCode>0.00%</c:formatCode>
                <c:ptCount val="2"/>
                <c:pt idx="0">
                  <c:v>0.8044692737430168</c:v>
                </c:pt>
                <c:pt idx="1">
                  <c:v>0.19553072625698323</c:v>
                </c:pt>
              </c:numCache>
            </c:numRef>
          </c:val>
          <c:extLst>
            <c:ext xmlns:c16="http://schemas.microsoft.com/office/drawing/2014/chart" uri="{C3380CC4-5D6E-409C-BE32-E72D297353CC}">
              <c16:uniqueId val="{00000000-C287-45E3-B303-1D2DAD1AB8BF}"/>
            </c:ext>
          </c:extLst>
        </c:ser>
        <c:ser>
          <c:idx val="1"/>
          <c:order val="1"/>
          <c:tx>
            <c:strRef>
              <c:f>'EDUCATION IMPACT ON LOAN APPROV'!$C$3:$C$4</c:f>
              <c:strCache>
                <c:ptCount val="1"/>
                <c:pt idx="0">
                  <c:v>Rejected</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IMPACT ON LOAN APPROV'!$A$5:$A$7</c:f>
              <c:strCache>
                <c:ptCount val="2"/>
                <c:pt idx="0">
                  <c:v>Graduate</c:v>
                </c:pt>
                <c:pt idx="1">
                  <c:v>Not Graduate</c:v>
                </c:pt>
              </c:strCache>
            </c:strRef>
          </c:cat>
          <c:val>
            <c:numRef>
              <c:f>'EDUCATION IMPACT ON LOAN APPROV'!$C$5:$C$7</c:f>
              <c:numCache>
                <c:formatCode>0.00%</c:formatCode>
                <c:ptCount val="2"/>
                <c:pt idx="0">
                  <c:v>0</c:v>
                </c:pt>
                <c:pt idx="1">
                  <c:v>0</c:v>
                </c:pt>
              </c:numCache>
            </c:numRef>
          </c:val>
          <c:extLst>
            <c:ext xmlns:c16="http://schemas.microsoft.com/office/drawing/2014/chart" uri="{C3380CC4-5D6E-409C-BE32-E72D297353CC}">
              <c16:uniqueId val="{00000001-C287-45E3-B303-1D2DAD1AB8BF}"/>
            </c:ext>
          </c:extLst>
        </c:ser>
        <c:dLbls>
          <c:showLegendKey val="0"/>
          <c:showVal val="0"/>
          <c:showCatName val="0"/>
          <c:showSerName val="0"/>
          <c:showPercent val="0"/>
          <c:showBubbleSize val="0"/>
        </c:dLbls>
        <c:gapWidth val="150"/>
        <c:axId val="1188731968"/>
        <c:axId val="1188746848"/>
      </c:barChart>
      <c:catAx>
        <c:axId val="11887319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en-US"/>
          </a:p>
        </c:txPr>
        <c:crossAx val="1188746848"/>
        <c:crosses val="autoZero"/>
        <c:auto val="1"/>
        <c:lblAlgn val="ctr"/>
        <c:lblOffset val="100"/>
        <c:noMultiLvlLbl val="0"/>
      </c:catAx>
      <c:valAx>
        <c:axId val="1188746848"/>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188731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6EEFA"/>
    </a:solidFill>
    <a:ln w="9525" cap="flat" cmpd="sng" algn="ctr">
      <a:noFill/>
      <a:round/>
    </a:ln>
    <a:effectLst>
      <a:outerShdw blurRad="50800" dist="38100" dir="2700000" algn="tl" rotWithShape="0">
        <a:srgbClr val="0052CC">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approval prediction data.xlsx]Loan Approval Distribution!PivotTable9</c:name>
    <c:fmtId val="2"/>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baseline="0">
                <a:solidFill>
                  <a:srgbClr val="0052CC"/>
                </a:solidFill>
                <a:latin typeface="Consolas" panose="020B0609020204030204" pitchFamily="49" charset="0"/>
              </a:rPr>
              <a:t>Loan Approval Distribtion</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90000"/>
              <a:lumOff val="1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05B90"/>
          </a:solidFill>
          <a:ln w="19050">
            <a:noFill/>
          </a:ln>
          <a:effectLst/>
        </c:spPr>
      </c:pivotFmt>
      <c:pivotFmt>
        <c:idx val="2"/>
        <c:spPr>
          <a:solidFill>
            <a:schemeClr val="tx2">
              <a:lumMod val="90000"/>
              <a:lumOff val="1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05B90"/>
          </a:solidFill>
          <a:ln w="19050">
            <a:noFill/>
          </a:ln>
          <a:effectLst/>
        </c:spPr>
      </c:pivotFmt>
      <c:pivotFmt>
        <c:idx val="4"/>
        <c:spPr>
          <a:solidFill>
            <a:schemeClr val="tx2">
              <a:lumMod val="90000"/>
              <a:lumOff val="10000"/>
            </a:schemeClr>
          </a:solidFill>
          <a:ln w="19050">
            <a:noFill/>
          </a:ln>
          <a:effectLst/>
        </c:spPr>
      </c:pivotFmt>
      <c:pivotFmt>
        <c:idx val="5"/>
        <c:spPr>
          <a:solidFill>
            <a:srgbClr val="0052CC"/>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D86DB"/>
          </a:solidFill>
          <a:ln w="19050">
            <a:noFill/>
          </a:ln>
          <a:effectLst/>
        </c:spPr>
      </c:pivotFmt>
      <c:pivotFmt>
        <c:idx val="7"/>
        <c:spPr>
          <a:solidFill>
            <a:srgbClr val="0052CC"/>
          </a:solidFill>
          <a:ln w="19050">
            <a:noFill/>
          </a:ln>
          <a:effectLst/>
        </c:spPr>
      </c:pivotFmt>
    </c:pivotFmts>
    <c:plotArea>
      <c:layout/>
      <c:pieChart>
        <c:varyColors val="1"/>
        <c:ser>
          <c:idx val="0"/>
          <c:order val="0"/>
          <c:tx>
            <c:strRef>
              <c:f>'Loan Approval Distribution'!$B$3</c:f>
              <c:strCache>
                <c:ptCount val="1"/>
                <c:pt idx="0">
                  <c:v>Total</c:v>
                </c:pt>
              </c:strCache>
            </c:strRef>
          </c:tx>
          <c:spPr>
            <a:solidFill>
              <a:srgbClr val="0052CC"/>
            </a:solidFill>
            <a:ln>
              <a:noFill/>
            </a:ln>
          </c:spPr>
          <c:dPt>
            <c:idx val="0"/>
            <c:bubble3D val="0"/>
            <c:spPr>
              <a:solidFill>
                <a:srgbClr val="4D86DB"/>
              </a:solidFill>
              <a:ln w="19050">
                <a:noFill/>
              </a:ln>
              <a:effectLst/>
            </c:spPr>
            <c:extLst>
              <c:ext xmlns:c16="http://schemas.microsoft.com/office/drawing/2014/chart" uri="{C3380CC4-5D6E-409C-BE32-E72D297353CC}">
                <c16:uniqueId val="{00000001-AA20-471D-9B13-96EB1187E996}"/>
              </c:ext>
            </c:extLst>
          </c:dPt>
          <c:dPt>
            <c:idx val="1"/>
            <c:bubble3D val="0"/>
            <c:spPr>
              <a:solidFill>
                <a:srgbClr val="0052CC"/>
              </a:solidFill>
              <a:ln w="19050">
                <a:noFill/>
              </a:ln>
              <a:effectLst/>
            </c:spPr>
            <c:extLst>
              <c:ext xmlns:c16="http://schemas.microsoft.com/office/drawing/2014/chart" uri="{C3380CC4-5D6E-409C-BE32-E72D297353CC}">
                <c16:uniqueId val="{00000003-AA20-471D-9B13-96EB1187E996}"/>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'Loan Approval Distribution'!$A$4:$A$6</c:f>
              <c:strCache>
                <c:ptCount val="2"/>
                <c:pt idx="0">
                  <c:v>Approved</c:v>
                </c:pt>
                <c:pt idx="1">
                  <c:v>Rejected</c:v>
                </c:pt>
              </c:strCache>
            </c:strRef>
          </c:cat>
          <c:val>
            <c:numRef>
              <c:f>'Loan Approval Distribution'!$B$4:$B$6</c:f>
              <c:numCache>
                <c:formatCode>General</c:formatCode>
                <c:ptCount val="2"/>
                <c:pt idx="0">
                  <c:v>179</c:v>
                </c:pt>
                <c:pt idx="1">
                  <c:v>188</c:v>
                </c:pt>
              </c:numCache>
            </c:numRef>
          </c:val>
          <c:extLst>
            <c:ext xmlns:c16="http://schemas.microsoft.com/office/drawing/2014/chart" uri="{C3380CC4-5D6E-409C-BE32-E72D297353CC}">
              <c16:uniqueId val="{00000004-AA20-471D-9B13-96EB1187E99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6EEFA"/>
    </a:solidFill>
    <a:ln w="9525" cap="flat" cmpd="sng" algn="ctr">
      <a:noFill/>
      <a:round/>
    </a:ln>
    <a:effectLst>
      <a:outerShdw blurRad="50800" dist="38100" dir="2700000" algn="tl" rotWithShape="0">
        <a:srgbClr val="0052CC">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Applicant Income Analysis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onsolas" panose="020B0609020204030204" pitchFamily="49" charset="0"/>
            </a:rPr>
            <a:t>Applicant Income Analysis</a:t>
          </a:r>
        </a:p>
      </cx:txPr>
    </cx:title>
    <cx:plotArea>
      <cx:plotAreaRegion>
        <cx:series layoutId="clusteredColumn" uniqueId="{20602F94-0B53-4874-8356-CF568DD18D7F}">
          <cx:tx>
            <cx:txData>
              <cx:f>_xlchart.v1.1</cx:f>
              <cx:v>Sum of Loan_Amount_Term</cx:v>
            </cx:txData>
          </cx:tx>
          <cx:spPr>
            <a:solidFill>
              <a:schemeClr val="tx2">
                <a:lumMod val="90000"/>
                <a:lumOff val="10000"/>
              </a:schemeClr>
            </a:solidFill>
            <a:ln>
              <a:noFill/>
            </a:ln>
            <a:effectLst/>
          </cx:spPr>
          <cx:dataId val="0"/>
          <cx:layoutPr>
            <cx:binning intervalClosed="r"/>
          </cx:layoutPr>
        </cx:series>
      </cx:plotAreaRegion>
      <cx:axis id="0">
        <cx:catScaling gapWidth="0"/>
        <cx:tickLabels/>
        <cx:txPr>
          <a:bodyPr spcFirstLastPara="1" vertOverflow="ellipsis" horzOverflow="overflow" wrap="square" lIns="0" tIns="0" rIns="0" bIns="0" anchor="ctr" anchorCtr="1"/>
          <a:lstStyle/>
          <a:p>
            <a:pPr algn="ctr" rtl="0">
              <a:defRPr sz="1150" baseline="0"/>
            </a:pPr>
            <a:endParaRPr lang="en-US" sz="1150" b="0" i="0" u="none" strike="noStrike" baseline="0">
              <a:solidFill>
                <a:sysClr val="windowText" lastClr="000000">
                  <a:lumMod val="65000"/>
                  <a:lumOff val="35000"/>
                </a:sysClr>
              </a:solidFill>
              <a:latin typeface="Aptos Narrow" panose="02110004020202020204"/>
            </a:endParaRPr>
          </a:p>
        </cx:txPr>
      </cx:axis>
      <cx:axis id="1">
        <cx:valScaling/>
        <cx:majorGridlines/>
        <cx:tickLabels/>
        <cx:txPr>
          <a:bodyPr spcFirstLastPara="1" vertOverflow="ellipsis" horzOverflow="overflow" wrap="square" lIns="0" tIns="0" rIns="0" bIns="0" anchor="ctr" anchorCtr="1"/>
          <a:lstStyle/>
          <a:p>
            <a:pPr algn="ctr" rtl="0">
              <a:defRPr sz="1150" baseline="0"/>
            </a:pPr>
            <a:endParaRPr lang="en-US" sz="1150" b="0" i="0" u="none" strike="noStrike" baseline="0">
              <a:solidFill>
                <a:sysClr val="windowText" lastClr="000000">
                  <a:lumMod val="65000"/>
                  <a:lumOff val="35000"/>
                </a:sysClr>
              </a:solidFill>
              <a:latin typeface="Aptos Narrow" panose="02110004020202020204"/>
            </a:endParaRPr>
          </a:p>
        </cx:txPr>
      </cx:axis>
    </cx:plotArea>
  </cx:chart>
  <cx:spPr>
    <a:ln>
      <a:noFill/>
    </a:ln>
    <a:effectLst>
      <a:outerShdw blurRad="50800" dist="38100" dir="2700000" algn="tl" rotWithShape="0">
        <a:srgbClr val="0052CC">
          <a:alpha val="40000"/>
        </a:srgb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Applicant Income Analysis</cx:v>
        </cx:txData>
      </cx:tx>
      <cx:txPr>
        <a:bodyPr spcFirstLastPara="1" vertOverflow="ellipsis" horzOverflow="overflow" wrap="square" lIns="0" tIns="0" rIns="0" bIns="0" anchor="ctr" anchorCtr="1"/>
        <a:lstStyle/>
        <a:p>
          <a:pPr algn="ctr" rtl="0">
            <a:defRPr/>
          </a:pPr>
          <a:r>
            <a:rPr lang="en-US" sz="1800" b="1" i="0" u="none" strike="noStrike" baseline="0">
              <a:solidFill>
                <a:srgbClr val="0052CC"/>
              </a:solidFill>
              <a:latin typeface="Consolas" panose="020B0609020204030204" pitchFamily="49" charset="0"/>
            </a:rPr>
            <a:t>Applicant Income Analysis</a:t>
          </a:r>
        </a:p>
      </cx:txPr>
    </cx:title>
    <cx:plotArea>
      <cx:plotAreaRegion>
        <cx:series layoutId="clusteredColumn" uniqueId="{20602F94-0B53-4874-8356-CF568DD18D7F}">
          <cx:tx>
            <cx:txData>
              <cx:f>_xlchart.v1.4</cx:f>
              <cx:v>Sum of Loan_Amount_Term</cx:v>
            </cx:txData>
          </cx:tx>
          <cx:spPr>
            <a:solidFill>
              <a:srgbClr val="0052CC"/>
            </a:solidFill>
            <a:ln>
              <a:noFill/>
            </a:ln>
            <a:effectLst/>
          </cx:spPr>
          <cx:dataLabels>
            <cx:txPr>
              <a:bodyPr spcFirstLastPara="1" vertOverflow="ellipsis" horzOverflow="overflow" wrap="square" lIns="0" tIns="0" rIns="0" bIns="0" anchor="ctr" anchorCtr="1"/>
              <a:lstStyle/>
              <a:p>
                <a:pPr algn="ctr" rtl="0">
                  <a:defRPr sz="1400" baseline="0"/>
                </a:pPr>
                <a:endParaRPr lang="en-US" sz="1400" b="0" i="0" u="none" strike="noStrike" baseline="0">
                  <a:solidFill>
                    <a:sysClr val="windowText" lastClr="000000">
                      <a:lumMod val="65000"/>
                      <a:lumOff val="35000"/>
                    </a:sysClr>
                  </a:solidFill>
                  <a:latin typeface="Aptos Narrow" panose="02110004020202020204"/>
                </a:endParaRPr>
              </a:p>
            </cx:txPr>
            <cx:visibility seriesName="0" categoryName="0" value="1"/>
          </cx:dataLabels>
          <cx:dataId val="0"/>
          <cx:layoutPr>
            <cx:binning intervalClosed="r"/>
          </cx:layoutPr>
        </cx:series>
      </cx:plotAreaRegion>
      <cx:axis id="0">
        <cx:catScaling gapWidth="0"/>
        <cx:tickLabels/>
        <cx:txPr>
          <a:bodyPr spcFirstLastPara="1" vertOverflow="ellipsis" horzOverflow="overflow" wrap="square" lIns="0" tIns="0" rIns="0" bIns="0" anchor="ctr" anchorCtr="1"/>
          <a:lstStyle/>
          <a:p>
            <a:pPr algn="ctr" rtl="0">
              <a:defRPr sz="1400" baseline="0">
                <a:solidFill>
                  <a:schemeClr val="tx1">
                    <a:lumMod val="95000"/>
                    <a:lumOff val="5000"/>
                  </a:schemeClr>
                </a:solidFill>
              </a:defRPr>
            </a:pPr>
            <a:endParaRPr lang="en-US" sz="1400" b="0" i="0" u="none" strike="noStrike" baseline="0">
              <a:solidFill>
                <a:schemeClr val="tx1">
                  <a:lumMod val="95000"/>
                  <a:lumOff val="5000"/>
                </a:schemeClr>
              </a:solidFill>
              <a:latin typeface="Aptos Narrow" panose="02110004020202020204"/>
            </a:endParaRPr>
          </a:p>
        </cx:txPr>
      </cx:axis>
      <cx:axis id="1">
        <cx:valScaling/>
        <cx:majorGridlines/>
        <cx:tickLabels/>
        <cx:txPr>
          <a:bodyPr spcFirstLastPara="1" vertOverflow="ellipsis" horzOverflow="overflow" wrap="square" lIns="0" tIns="0" rIns="0" bIns="0" anchor="ctr" anchorCtr="1"/>
          <a:lstStyle/>
          <a:p>
            <a:pPr algn="ctr" rtl="0">
              <a:defRPr sz="1400" baseline="0">
                <a:solidFill>
                  <a:schemeClr val="tx1">
                    <a:lumMod val="95000"/>
                    <a:lumOff val="5000"/>
                  </a:schemeClr>
                </a:solidFill>
              </a:defRPr>
            </a:pPr>
            <a:endParaRPr lang="en-US" sz="1400" b="0" i="0" u="none" strike="noStrike" baseline="0">
              <a:solidFill>
                <a:schemeClr val="tx1">
                  <a:lumMod val="95000"/>
                  <a:lumOff val="5000"/>
                </a:schemeClr>
              </a:solidFill>
              <a:latin typeface="Aptos Narrow" panose="02110004020202020204"/>
            </a:endParaRPr>
          </a:p>
        </cx:txPr>
      </cx:axis>
    </cx:plotArea>
  </cx:chart>
  <cx:spPr>
    <a:solidFill>
      <a:srgbClr val="E6EEFA"/>
    </a:solidFill>
    <a:ln>
      <a:noFill/>
    </a:ln>
    <a:effectLst>
      <a:outerShdw blurRad="50800" dist="38100" dir="2700000" algn="tl" rotWithShape="0">
        <a:srgbClr val="0052CC">
          <a:alpha val="40000"/>
        </a:srgb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6.xml"/><Relationship Id="rId7"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8.xml"/><Relationship Id="rId11" Type="http://schemas.openxmlformats.org/officeDocument/2006/relationships/image" Target="../media/image6.svg"/><Relationship Id="rId5" Type="http://schemas.openxmlformats.org/officeDocument/2006/relationships/chart" Target="../charts/chart7.xml"/><Relationship Id="rId10" Type="http://schemas.openxmlformats.org/officeDocument/2006/relationships/image" Target="../media/image5.png"/><Relationship Id="rId4" Type="http://schemas.microsoft.com/office/2014/relationships/chartEx" Target="../charts/chartEx2.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405849</xdr:colOff>
      <xdr:row>24</xdr:row>
      <xdr:rowOff>157372</xdr:rowOff>
    </xdr:from>
    <xdr:to>
      <xdr:col>7</xdr:col>
      <xdr:colOff>397566</xdr:colOff>
      <xdr:row>41</xdr:row>
      <xdr:rowOff>107674</xdr:rowOff>
    </xdr:to>
    <xdr:sp macro="" textlink="">
      <xdr:nvSpPr>
        <xdr:cNvPr id="2" name="Rectangle: Rounded Corners 1">
          <a:extLst>
            <a:ext uri="{FF2B5EF4-FFF2-40B4-BE49-F238E27FC236}">
              <a16:creationId xmlns:a16="http://schemas.microsoft.com/office/drawing/2014/main" id="{CD9E3042-CBAE-C946-29E8-9912ADF72FD1}"/>
            </a:ext>
          </a:extLst>
        </xdr:cNvPr>
        <xdr:cNvSpPr/>
      </xdr:nvSpPr>
      <xdr:spPr>
        <a:xfrm>
          <a:off x="405849" y="4729372"/>
          <a:ext cx="4282108" cy="3188802"/>
        </a:xfrm>
        <a:prstGeom prst="roundRect">
          <a:avLst>
            <a:gd name="adj" fmla="val 9181"/>
          </a:avLst>
        </a:prstGeom>
        <a:solidFill>
          <a:schemeClr val="bg1"/>
        </a:solidFill>
        <a:ln>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2">
                  <a:lumMod val="90000"/>
                  <a:lumOff val="10000"/>
                </a:schemeClr>
              </a:solidFill>
              <a:latin typeface="Consolas" panose="020B0609020204030204" pitchFamily="49" charset="0"/>
            </a:rPr>
            <a:t>Data</a:t>
          </a:r>
          <a:r>
            <a:rPr lang="en-US" sz="1400" b="1" baseline="0">
              <a:solidFill>
                <a:schemeClr val="tx2">
                  <a:lumMod val="90000"/>
                  <a:lumOff val="10000"/>
                </a:schemeClr>
              </a:solidFill>
              <a:latin typeface="Consolas" panose="020B0609020204030204" pitchFamily="49" charset="0"/>
            </a:rPr>
            <a:t> story</a:t>
          </a:r>
        </a:p>
        <a:p>
          <a:r>
            <a:rPr lang="en-US" sz="900" b="0">
              <a:solidFill>
                <a:schemeClr val="tx2">
                  <a:lumMod val="90000"/>
                  <a:lumOff val="10000"/>
                </a:schemeClr>
              </a:solidFill>
              <a:effectLst/>
              <a:latin typeface="Consolas" panose="020B0609020204030204" pitchFamily="49" charset="0"/>
              <a:ea typeface="+mn-ea"/>
              <a:cs typeface="+mn-cs"/>
            </a:rPr>
            <a:t>The data tells a story about how financial and personal</a:t>
          </a:r>
          <a:r>
            <a:rPr lang="en-US" sz="900" b="0" baseline="0">
              <a:solidFill>
                <a:schemeClr val="tx2">
                  <a:lumMod val="90000"/>
                  <a:lumOff val="10000"/>
                </a:schemeClr>
              </a:solidFill>
              <a:effectLst/>
              <a:latin typeface="Consolas" panose="020B0609020204030204" pitchFamily="49" charset="0"/>
              <a:ea typeface="+mn-ea"/>
              <a:cs typeface="+mn-cs"/>
            </a:rPr>
            <a:t> charateristics influence whether a loan application is approved or rejected.it expains the decision-making process banks use when evaluating loan applicant and shows factocrs such as income level,credit history,employment status,family size and education affect a customer's chances of receiving a loan. </a:t>
          </a:r>
        </a:p>
        <a:p>
          <a:r>
            <a:rPr lang="en-US" sz="900" b="0" baseline="0">
              <a:solidFill>
                <a:schemeClr val="tx2">
                  <a:lumMod val="90000"/>
                  <a:lumOff val="10000"/>
                </a:schemeClr>
              </a:solidFill>
              <a:effectLst/>
              <a:latin typeface="Consolas" panose="020B0609020204030204" pitchFamily="49" charset="0"/>
              <a:ea typeface="+mn-ea"/>
              <a:cs typeface="+mn-cs"/>
            </a:rPr>
            <a:t>Hences, i can conclude that the dataset presents a clear picture of who gets loans, who doesn't, and why.</a:t>
          </a:r>
        </a:p>
        <a:p>
          <a:endParaRPr lang="en-US" sz="900">
            <a:solidFill>
              <a:schemeClr val="tx2">
                <a:lumMod val="90000"/>
                <a:lumOff val="10000"/>
              </a:schemeClr>
            </a:solidFill>
            <a:effectLst/>
            <a:latin typeface="Consolas" panose="020B0609020204030204" pitchFamily="49" charset="0"/>
          </a:endParaRPr>
        </a:p>
        <a:p>
          <a:r>
            <a:rPr lang="en-US" sz="900" b="1" baseline="0">
              <a:solidFill>
                <a:schemeClr val="tx2">
                  <a:lumMod val="90000"/>
                  <a:lumOff val="10000"/>
                </a:schemeClr>
              </a:solidFill>
              <a:effectLst/>
              <a:latin typeface="Consolas" panose="020B0609020204030204" pitchFamily="49" charset="0"/>
              <a:ea typeface="+mn-ea"/>
              <a:cs typeface="+mn-cs"/>
            </a:rPr>
            <a:t>Indusrty Type: </a:t>
          </a:r>
          <a:r>
            <a:rPr lang="en-US" sz="900" b="0" baseline="0">
              <a:solidFill>
                <a:schemeClr val="tx2">
                  <a:lumMod val="90000"/>
                  <a:lumOff val="10000"/>
                </a:schemeClr>
              </a:solidFill>
              <a:effectLst/>
              <a:latin typeface="Consolas" panose="020B0609020204030204" pitchFamily="49" charset="0"/>
              <a:ea typeface="+mn-ea"/>
              <a:cs typeface="+mn-cs"/>
            </a:rPr>
            <a:t>Banking, Finance Services</a:t>
          </a:r>
        </a:p>
        <a:p>
          <a:endParaRPr lang="en-US" sz="900">
            <a:solidFill>
              <a:schemeClr val="tx2">
                <a:lumMod val="90000"/>
                <a:lumOff val="10000"/>
              </a:schemeClr>
            </a:solidFill>
            <a:effectLst/>
            <a:latin typeface="Consolas" panose="020B0609020204030204" pitchFamily="49" charset="0"/>
          </a:endParaRPr>
        </a:p>
        <a:p>
          <a:r>
            <a:rPr lang="en-US" sz="900" b="1" baseline="0">
              <a:solidFill>
                <a:schemeClr val="tx2">
                  <a:lumMod val="90000"/>
                  <a:lumOff val="10000"/>
                </a:schemeClr>
              </a:solidFill>
              <a:effectLst/>
              <a:latin typeface="Consolas" panose="020B0609020204030204" pitchFamily="49" charset="0"/>
              <a:ea typeface="+mn-ea"/>
              <a:cs typeface="+mn-cs"/>
            </a:rPr>
            <a:t>Stakeholder: </a:t>
          </a:r>
          <a:r>
            <a:rPr lang="en-US" sz="900" b="0" baseline="0">
              <a:solidFill>
                <a:schemeClr val="tx2">
                  <a:lumMod val="90000"/>
                  <a:lumOff val="10000"/>
                </a:schemeClr>
              </a:solidFill>
              <a:effectLst/>
              <a:latin typeface="Consolas" panose="020B0609020204030204" pitchFamily="49" charset="0"/>
              <a:ea typeface="+mn-ea"/>
              <a:cs typeface="+mn-cs"/>
            </a:rPr>
            <a:t>Bank, Loan Officers, Risk Management Team</a:t>
          </a:r>
        </a:p>
        <a:p>
          <a:endParaRPr lang="en-US" sz="900">
            <a:solidFill>
              <a:schemeClr val="tx2">
                <a:lumMod val="90000"/>
                <a:lumOff val="10000"/>
              </a:schemeClr>
            </a:solidFill>
            <a:effectLst/>
            <a:latin typeface="Consolas" panose="020B0609020204030204" pitchFamily="49" charset="0"/>
          </a:endParaRPr>
        </a:p>
        <a:p>
          <a:r>
            <a:rPr lang="en-US" sz="900" b="1" baseline="0">
              <a:solidFill>
                <a:schemeClr val="tx2">
                  <a:lumMod val="90000"/>
                  <a:lumOff val="10000"/>
                </a:schemeClr>
              </a:solidFill>
              <a:effectLst/>
              <a:latin typeface="Consolas" panose="020B0609020204030204" pitchFamily="49" charset="0"/>
              <a:ea typeface="+mn-ea"/>
              <a:cs typeface="+mn-cs"/>
            </a:rPr>
            <a:t>What success means to this Banking/Finanace industry.</a:t>
          </a:r>
          <a:endParaRPr lang="en-US" sz="900">
            <a:solidFill>
              <a:schemeClr val="tx2">
                <a:lumMod val="90000"/>
                <a:lumOff val="10000"/>
              </a:schemeClr>
            </a:solidFill>
            <a:effectLst/>
            <a:latin typeface="Consolas" panose="020B0609020204030204" pitchFamily="49" charset="0"/>
          </a:endParaRPr>
        </a:p>
        <a:p>
          <a:r>
            <a:rPr lang="en-US" sz="900" b="0" baseline="0">
              <a:solidFill>
                <a:schemeClr val="tx2">
                  <a:lumMod val="90000"/>
                  <a:lumOff val="10000"/>
                </a:schemeClr>
              </a:solidFill>
              <a:effectLst/>
              <a:latin typeface="Consolas" panose="020B0609020204030204" pitchFamily="49" charset="0"/>
              <a:ea typeface="+mn-ea"/>
              <a:cs typeface="+mn-cs"/>
            </a:rPr>
            <a:t>1. Approving loan to the right applican(low-rick borrower)</a:t>
          </a:r>
        </a:p>
        <a:p>
          <a:r>
            <a:rPr lang="en-US" sz="900" b="0" baseline="0">
              <a:solidFill>
                <a:schemeClr val="tx2">
                  <a:lumMod val="90000"/>
                  <a:lumOff val="10000"/>
                </a:schemeClr>
              </a:solidFill>
              <a:effectLst/>
              <a:latin typeface="Consolas" panose="020B0609020204030204" pitchFamily="49" charset="0"/>
              <a:ea typeface="+mn-ea"/>
              <a:cs typeface="+mn-cs"/>
            </a:rPr>
            <a:t>2. Mininizing loan defaults and non-performing assets</a:t>
          </a:r>
        </a:p>
        <a:p>
          <a:r>
            <a:rPr lang="en-US" sz="900" b="0" baseline="0">
              <a:solidFill>
                <a:schemeClr val="tx2">
                  <a:lumMod val="90000"/>
                  <a:lumOff val="10000"/>
                </a:schemeClr>
              </a:solidFill>
              <a:effectLst/>
              <a:latin typeface="Consolas" panose="020B0609020204030204" pitchFamily="49" charset="0"/>
              <a:ea typeface="+mn-ea"/>
              <a:cs typeface="+mn-cs"/>
            </a:rPr>
            <a:t>3. Maximizing revenue from inerest payments</a:t>
          </a:r>
          <a:endParaRPr lang="en-US" sz="900">
            <a:solidFill>
              <a:schemeClr val="tx2">
                <a:lumMod val="90000"/>
                <a:lumOff val="10000"/>
              </a:schemeClr>
            </a:solidFill>
            <a:effectLst/>
            <a:latin typeface="Consolas" panose="020B0609020204030204" pitchFamily="49" charset="0"/>
          </a:endParaRPr>
        </a:p>
        <a:p>
          <a:r>
            <a:rPr lang="en-US" sz="900" b="0" baseline="0">
              <a:solidFill>
                <a:schemeClr val="tx2">
                  <a:lumMod val="90000"/>
                  <a:lumOff val="10000"/>
                </a:schemeClr>
              </a:solidFill>
              <a:effectLst/>
              <a:latin typeface="Consolas" panose="020B0609020204030204" pitchFamily="49" charset="0"/>
              <a:ea typeface="+mn-ea"/>
              <a:cs typeface="+mn-cs"/>
            </a:rPr>
            <a:t>4. Mataining regulatory compaliance and reputition</a:t>
          </a:r>
          <a:r>
            <a:rPr lang="en-US" sz="900" b="0">
              <a:solidFill>
                <a:schemeClr val="lt1"/>
              </a:solidFill>
              <a:effectLst/>
              <a:latin typeface="Consolas" panose="020B0609020204030204" pitchFamily="49" charset="0"/>
              <a:ea typeface="+mn-ea"/>
              <a:cs typeface="+mn-cs"/>
            </a:rPr>
            <a:t>data tells a story about the sales activities of an e-commerce </a:t>
          </a:r>
          <a:endParaRPr lang="en-US" sz="900" baseline="0">
            <a:solidFill>
              <a:schemeClr val="tx2">
                <a:lumMod val="90000"/>
                <a:lumOff val="10000"/>
              </a:schemeClr>
            </a:solidFill>
            <a:latin typeface="Consolas" panose="020B0609020204030204" pitchFamily="49" charset="0"/>
          </a:endParaRPr>
        </a:p>
        <a:p>
          <a:pPr algn="l"/>
          <a:endParaRPr lang="en-US" sz="900" baseline="0">
            <a:solidFill>
              <a:schemeClr val="tx2">
                <a:lumMod val="90000"/>
                <a:lumOff val="10000"/>
              </a:schemeClr>
            </a:solidFill>
            <a:latin typeface="Consolas" panose="020B0609020204030204" pitchFamily="49" charset="0"/>
          </a:endParaRPr>
        </a:p>
        <a:p>
          <a:pPr algn="l"/>
          <a:endParaRPr lang="en-US" sz="900" baseline="0">
            <a:solidFill>
              <a:schemeClr val="tx2">
                <a:lumMod val="90000"/>
                <a:lumOff val="10000"/>
              </a:schemeClr>
            </a:solidFill>
            <a:latin typeface="Consolas" panose="020B0609020204030204" pitchFamily="49" charset="0"/>
          </a:endParaRPr>
        </a:p>
        <a:p>
          <a:pPr algn="l"/>
          <a:endParaRPr lang="en-US" sz="900" baseline="0">
            <a:solidFill>
              <a:schemeClr val="tx2">
                <a:lumMod val="90000"/>
                <a:lumOff val="10000"/>
              </a:schemeClr>
            </a:solidFill>
            <a:latin typeface="Consolas" panose="020B0609020204030204" pitchFamily="49" charset="0"/>
          </a:endParaRPr>
        </a:p>
        <a:p>
          <a:pPr algn="l"/>
          <a:endParaRPr lang="en-US" sz="1400" baseline="0">
            <a:solidFill>
              <a:schemeClr val="tx2">
                <a:lumMod val="90000"/>
                <a:lumOff val="10000"/>
              </a:schemeClr>
            </a:solidFill>
            <a:latin typeface="Consolas" panose="020B0609020204030204" pitchFamily="49" charset="0"/>
          </a:endParaRPr>
        </a:p>
        <a:p>
          <a:pPr algn="ctr"/>
          <a:endParaRPr lang="en-US" sz="1400" baseline="0">
            <a:solidFill>
              <a:schemeClr val="tx2">
                <a:lumMod val="90000"/>
                <a:lumOff val="10000"/>
              </a:schemeClr>
            </a:solidFill>
            <a:latin typeface="Consolas" panose="020B0609020204030204" pitchFamily="49" charset="0"/>
          </a:endParaRPr>
        </a:p>
        <a:p>
          <a:pPr algn="ctr"/>
          <a:endParaRPr lang="en-US" sz="1400">
            <a:solidFill>
              <a:schemeClr val="tx2">
                <a:lumMod val="90000"/>
                <a:lumOff val="10000"/>
              </a:schemeClr>
            </a:solidFill>
            <a:latin typeface="Consolas" panose="020B0609020204030204" pitchFamily="49" charset="0"/>
          </a:endParaRPr>
        </a:p>
      </xdr:txBody>
    </xdr:sp>
    <xdr:clientData/>
  </xdr:twoCellAnchor>
  <xdr:twoCellAnchor>
    <xdr:from>
      <xdr:col>0</xdr:col>
      <xdr:colOff>185531</xdr:colOff>
      <xdr:row>2</xdr:row>
      <xdr:rowOff>44728</xdr:rowOff>
    </xdr:from>
    <xdr:to>
      <xdr:col>7</xdr:col>
      <xdr:colOff>177248</xdr:colOff>
      <xdr:row>24</xdr:row>
      <xdr:rowOff>3314</xdr:rowOff>
    </xdr:to>
    <xdr:sp macro="" textlink="">
      <xdr:nvSpPr>
        <xdr:cNvPr id="3" name="Rectangle: Rounded Corners 2">
          <a:extLst>
            <a:ext uri="{FF2B5EF4-FFF2-40B4-BE49-F238E27FC236}">
              <a16:creationId xmlns:a16="http://schemas.microsoft.com/office/drawing/2014/main" id="{2B63978F-8241-3419-2A08-F14D6B79D7EB}"/>
            </a:ext>
          </a:extLst>
        </xdr:cNvPr>
        <xdr:cNvSpPr/>
      </xdr:nvSpPr>
      <xdr:spPr>
        <a:xfrm>
          <a:off x="185531" y="425728"/>
          <a:ext cx="4282108" cy="4149586"/>
        </a:xfrm>
        <a:prstGeom prst="roundRect">
          <a:avLst>
            <a:gd name="adj" fmla="val 9181"/>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latin typeface="Consolas" panose="020B0609020204030204" pitchFamily="49" charset="0"/>
            </a:rPr>
            <a:t>DATA</a:t>
          </a:r>
          <a:r>
            <a:rPr lang="en-US" sz="1400" baseline="0">
              <a:latin typeface="Consolas" panose="020B0609020204030204" pitchFamily="49" charset="0"/>
            </a:rPr>
            <a:t> SPLITTING</a:t>
          </a:r>
        </a:p>
        <a:p>
          <a:pPr algn="l"/>
          <a:r>
            <a:rPr lang="en-US" sz="1400" baseline="0">
              <a:latin typeface="Consolas" panose="020B0609020204030204" pitchFamily="49" charset="0"/>
            </a:rPr>
            <a:t>Independent Variable</a:t>
          </a:r>
        </a:p>
        <a:p>
          <a:pPr algn="l"/>
          <a:r>
            <a:rPr lang="en-US" sz="1400" baseline="0">
              <a:latin typeface="Consolas" panose="020B0609020204030204" pitchFamily="49" charset="0"/>
            </a:rPr>
            <a:t>Gender</a:t>
          </a:r>
        </a:p>
        <a:p>
          <a:pPr algn="l"/>
          <a:r>
            <a:rPr lang="en-US" sz="1400" baseline="0">
              <a:latin typeface="Consolas" panose="020B0609020204030204" pitchFamily="49" charset="0"/>
            </a:rPr>
            <a:t>Married</a:t>
          </a:r>
        </a:p>
        <a:p>
          <a:pPr algn="l"/>
          <a:r>
            <a:rPr lang="en-US" sz="1400" baseline="0">
              <a:latin typeface="Consolas" panose="020B0609020204030204" pitchFamily="49" charset="0"/>
            </a:rPr>
            <a:t>Dependants</a:t>
          </a:r>
        </a:p>
        <a:p>
          <a:pPr algn="l"/>
          <a:r>
            <a:rPr lang="en-US" sz="1400" baseline="0">
              <a:latin typeface="Consolas" panose="020B0609020204030204" pitchFamily="49" charset="0"/>
            </a:rPr>
            <a:t>Education</a:t>
          </a:r>
        </a:p>
        <a:p>
          <a:pPr algn="l"/>
          <a:r>
            <a:rPr lang="en-US" sz="1400" baseline="0">
              <a:latin typeface="Consolas" panose="020B0609020204030204" pitchFamily="49" charset="0"/>
            </a:rPr>
            <a:t>Income</a:t>
          </a:r>
        </a:p>
        <a:p>
          <a:pPr algn="l"/>
          <a:r>
            <a:rPr lang="en-US" sz="1400" baseline="0">
              <a:latin typeface="Consolas" panose="020B0609020204030204" pitchFamily="49" charset="0"/>
            </a:rPr>
            <a:t>LoanAmount</a:t>
          </a:r>
        </a:p>
        <a:p>
          <a:pPr algn="l"/>
          <a:r>
            <a:rPr lang="en-US" sz="1400" baseline="0">
              <a:latin typeface="Consolas" panose="020B0609020204030204" pitchFamily="49" charset="0"/>
            </a:rPr>
            <a:t>Credit_History</a:t>
          </a:r>
        </a:p>
        <a:p>
          <a:pPr algn="l"/>
          <a:r>
            <a:rPr lang="en-US" sz="1400" baseline="0">
              <a:latin typeface="Consolas" panose="020B0609020204030204" pitchFamily="49" charset="0"/>
            </a:rPr>
            <a:t>Self_employed</a:t>
          </a:r>
        </a:p>
        <a:p>
          <a:pPr algn="l"/>
          <a:r>
            <a:rPr lang="en-US" sz="1400" baseline="0">
              <a:latin typeface="Consolas" panose="020B0609020204030204" pitchFamily="49" charset="0"/>
            </a:rPr>
            <a:t>ApplicantIncome</a:t>
          </a:r>
        </a:p>
        <a:p>
          <a:pPr algn="l"/>
          <a:r>
            <a:rPr lang="en-US" sz="1400" baseline="0">
              <a:latin typeface="Consolas" panose="020B0609020204030204" pitchFamily="49" charset="0"/>
            </a:rPr>
            <a:t>Coapplicantincome</a:t>
          </a:r>
        </a:p>
        <a:p>
          <a:pPr algn="l"/>
          <a:r>
            <a:rPr lang="en-US" sz="1400" baseline="0">
              <a:latin typeface="Consolas" panose="020B0609020204030204" pitchFamily="49" charset="0"/>
            </a:rPr>
            <a:t>Loan_Amount_Term</a:t>
          </a:r>
        </a:p>
        <a:p>
          <a:pPr algn="l"/>
          <a:endParaRPr lang="en-US" sz="1400" baseline="0">
            <a:latin typeface="Consolas" panose="020B0609020204030204" pitchFamily="49" charset="0"/>
          </a:endParaRPr>
        </a:p>
        <a:p>
          <a:pPr algn="l"/>
          <a:r>
            <a:rPr lang="en-US" sz="1400" baseline="0">
              <a:latin typeface="Consolas" panose="020B0609020204030204" pitchFamily="49" charset="0"/>
            </a:rPr>
            <a:t>Dependent Variable</a:t>
          </a:r>
        </a:p>
        <a:p>
          <a:pPr algn="l"/>
          <a:r>
            <a:rPr lang="en-US" sz="1400" baseline="0">
              <a:latin typeface="Consolas" panose="020B0609020204030204" pitchFamily="49" charset="0"/>
            </a:rPr>
            <a:t>Loan_status</a:t>
          </a:r>
        </a:p>
        <a:p>
          <a:pPr algn="l"/>
          <a:r>
            <a:rPr lang="en-US" sz="1400" baseline="0">
              <a:latin typeface="Consolas" panose="020B0609020204030204" pitchFamily="49" charset="0"/>
            </a:rPr>
            <a:t>Approval_Value</a:t>
          </a:r>
        </a:p>
        <a:p>
          <a:pPr algn="l"/>
          <a:endParaRPr lang="en-US" sz="1400" baseline="0">
            <a:latin typeface="Consolas" panose="020B0609020204030204" pitchFamily="49" charset="0"/>
          </a:endParaRPr>
        </a:p>
        <a:p>
          <a:pPr algn="l"/>
          <a:endParaRPr lang="en-US" sz="1400" baseline="0">
            <a:latin typeface="Consolas" panose="020B0609020204030204" pitchFamily="49" charset="0"/>
          </a:endParaRPr>
        </a:p>
        <a:p>
          <a:pPr algn="l"/>
          <a:endParaRPr lang="en-US" sz="1400" baseline="0">
            <a:latin typeface="Consolas" panose="020B0609020204030204" pitchFamily="49" charset="0"/>
          </a:endParaRPr>
        </a:p>
        <a:p>
          <a:pPr algn="l"/>
          <a:endParaRPr lang="en-US" sz="1400" baseline="0">
            <a:latin typeface="Consolas" panose="020B0609020204030204" pitchFamily="49" charset="0"/>
          </a:endParaRPr>
        </a:p>
        <a:p>
          <a:pPr algn="ctr"/>
          <a:endParaRPr lang="en-US" sz="1400" baseline="0">
            <a:latin typeface="Consolas" panose="020B0609020204030204" pitchFamily="49" charset="0"/>
          </a:endParaRPr>
        </a:p>
        <a:p>
          <a:pPr algn="ctr"/>
          <a:endParaRPr lang="en-US" sz="1400">
            <a:latin typeface="Consolas" panose="020B0609020204030204" pitchFamily="49" charset="0"/>
          </a:endParaRPr>
        </a:p>
      </xdr:txBody>
    </xdr:sp>
    <xdr:clientData/>
  </xdr:twoCellAnchor>
  <xdr:twoCellAnchor>
    <xdr:from>
      <xdr:col>0</xdr:col>
      <xdr:colOff>251792</xdr:colOff>
      <xdr:row>42</xdr:row>
      <xdr:rowOff>102706</xdr:rowOff>
    </xdr:from>
    <xdr:to>
      <xdr:col>7</xdr:col>
      <xdr:colOff>243509</xdr:colOff>
      <xdr:row>49</xdr:row>
      <xdr:rowOff>74543</xdr:rowOff>
    </xdr:to>
    <xdr:sp macro="" textlink="">
      <xdr:nvSpPr>
        <xdr:cNvPr id="4" name="Rectangle: Rounded Corners 3">
          <a:extLst>
            <a:ext uri="{FF2B5EF4-FFF2-40B4-BE49-F238E27FC236}">
              <a16:creationId xmlns:a16="http://schemas.microsoft.com/office/drawing/2014/main" id="{F75D8452-2AD9-9AD6-B70F-4687E39F483A}"/>
            </a:ext>
          </a:extLst>
        </xdr:cNvPr>
        <xdr:cNvSpPr/>
      </xdr:nvSpPr>
      <xdr:spPr>
        <a:xfrm>
          <a:off x="251792" y="8103706"/>
          <a:ext cx="4282108" cy="1305337"/>
        </a:xfrm>
        <a:prstGeom prst="roundRect">
          <a:avLst>
            <a:gd name="adj" fmla="val 9181"/>
          </a:avLst>
        </a:prstGeom>
        <a:solidFill>
          <a:schemeClr val="bg1"/>
        </a:solidFill>
        <a:ln>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baseline="0">
              <a:solidFill>
                <a:schemeClr val="tx2">
                  <a:lumMod val="90000"/>
                  <a:lumOff val="10000"/>
                </a:schemeClr>
              </a:solidFill>
              <a:latin typeface="Consolas" panose="020B0609020204030204" pitchFamily="49" charset="0"/>
            </a:rPr>
            <a:t>Tools to be used</a:t>
          </a:r>
        </a:p>
        <a:p>
          <a:pPr algn="l"/>
          <a:r>
            <a:rPr lang="en-US" sz="900" b="0" baseline="0">
              <a:solidFill>
                <a:schemeClr val="tx2">
                  <a:lumMod val="90000"/>
                  <a:lumOff val="10000"/>
                </a:schemeClr>
              </a:solidFill>
              <a:latin typeface="Consolas" panose="020B0609020204030204" pitchFamily="49" charset="0"/>
            </a:rPr>
            <a:t>Pivot Table</a:t>
          </a:r>
        </a:p>
        <a:p>
          <a:pPr algn="l"/>
          <a:r>
            <a:rPr lang="en-US" sz="900" b="0" baseline="0">
              <a:solidFill>
                <a:schemeClr val="tx2">
                  <a:lumMod val="90000"/>
                  <a:lumOff val="10000"/>
                </a:schemeClr>
              </a:solidFill>
              <a:latin typeface="Consolas" panose="020B0609020204030204" pitchFamily="49" charset="0"/>
            </a:rPr>
            <a:t>Charts</a:t>
          </a:r>
        </a:p>
        <a:p>
          <a:pPr algn="l"/>
          <a:r>
            <a:rPr lang="en-US" sz="900" b="0" baseline="0">
              <a:solidFill>
                <a:schemeClr val="tx2">
                  <a:lumMod val="90000"/>
                  <a:lumOff val="10000"/>
                </a:schemeClr>
              </a:solidFill>
              <a:latin typeface="Consolas" panose="020B0609020204030204" pitchFamily="49" charset="0"/>
            </a:rPr>
            <a:t>Slicers</a:t>
          </a:r>
        </a:p>
        <a:p>
          <a:pPr algn="l"/>
          <a:r>
            <a:rPr lang="en-US" sz="900" b="0" baseline="0">
              <a:solidFill>
                <a:schemeClr val="tx2">
                  <a:lumMod val="90000"/>
                  <a:lumOff val="10000"/>
                </a:schemeClr>
              </a:solidFill>
              <a:latin typeface="Consolas" panose="020B0609020204030204" pitchFamily="49" charset="0"/>
            </a:rPr>
            <a:t>Dashboard</a:t>
          </a:r>
        </a:p>
        <a:p>
          <a:r>
            <a:rPr lang="en-US" sz="900" b="0">
              <a:solidFill>
                <a:schemeClr val="lt1"/>
              </a:solidFill>
              <a:effectLst/>
              <a:latin typeface="Consolas" panose="020B0609020204030204" pitchFamily="49" charset="0"/>
              <a:ea typeface="+mn-ea"/>
              <a:cs typeface="+mn-cs"/>
            </a:rPr>
            <a:t>tells a story about the sales activities of an e-commerce </a:t>
          </a:r>
          <a:endParaRPr lang="en-US" sz="900" baseline="0">
            <a:solidFill>
              <a:schemeClr val="tx2">
                <a:lumMod val="90000"/>
                <a:lumOff val="10000"/>
              </a:schemeClr>
            </a:solidFill>
            <a:latin typeface="Consolas" panose="020B0609020204030204" pitchFamily="49" charset="0"/>
          </a:endParaRPr>
        </a:p>
        <a:p>
          <a:pPr algn="l"/>
          <a:endParaRPr lang="en-US" sz="900" baseline="0">
            <a:solidFill>
              <a:schemeClr val="tx2">
                <a:lumMod val="90000"/>
                <a:lumOff val="10000"/>
              </a:schemeClr>
            </a:solidFill>
            <a:latin typeface="Consolas" panose="020B0609020204030204" pitchFamily="49" charset="0"/>
          </a:endParaRPr>
        </a:p>
        <a:p>
          <a:pPr algn="l"/>
          <a:endParaRPr lang="en-US" sz="900" baseline="0">
            <a:solidFill>
              <a:schemeClr val="tx2">
                <a:lumMod val="90000"/>
                <a:lumOff val="10000"/>
              </a:schemeClr>
            </a:solidFill>
            <a:latin typeface="Consolas" panose="020B0609020204030204" pitchFamily="49" charset="0"/>
          </a:endParaRPr>
        </a:p>
        <a:p>
          <a:pPr algn="l"/>
          <a:endParaRPr lang="en-US" sz="900" baseline="0">
            <a:solidFill>
              <a:schemeClr val="tx2">
                <a:lumMod val="90000"/>
                <a:lumOff val="10000"/>
              </a:schemeClr>
            </a:solidFill>
            <a:latin typeface="Consolas" panose="020B0609020204030204" pitchFamily="49" charset="0"/>
          </a:endParaRPr>
        </a:p>
        <a:p>
          <a:pPr algn="l"/>
          <a:endParaRPr lang="en-US" sz="1400" baseline="0">
            <a:solidFill>
              <a:schemeClr val="tx2">
                <a:lumMod val="90000"/>
                <a:lumOff val="10000"/>
              </a:schemeClr>
            </a:solidFill>
            <a:latin typeface="Consolas" panose="020B0609020204030204" pitchFamily="49" charset="0"/>
          </a:endParaRPr>
        </a:p>
        <a:p>
          <a:pPr algn="ctr"/>
          <a:endParaRPr lang="en-US" sz="1400" baseline="0">
            <a:solidFill>
              <a:schemeClr val="tx2">
                <a:lumMod val="90000"/>
                <a:lumOff val="10000"/>
              </a:schemeClr>
            </a:solidFill>
            <a:latin typeface="Consolas" panose="020B0609020204030204" pitchFamily="49" charset="0"/>
          </a:endParaRPr>
        </a:p>
        <a:p>
          <a:pPr algn="ctr"/>
          <a:endParaRPr lang="en-US" sz="1400">
            <a:solidFill>
              <a:schemeClr val="tx2">
                <a:lumMod val="90000"/>
                <a:lumOff val="10000"/>
              </a:schemeClr>
            </a:solidFill>
            <a:latin typeface="Consolas" panose="020B0609020204030204" pitchFamily="49" charset="0"/>
          </a:endParaRPr>
        </a:p>
      </xdr:txBody>
    </xdr:sp>
    <xdr:clientData/>
  </xdr:twoCellAnchor>
  <xdr:twoCellAnchor>
    <xdr:from>
      <xdr:col>15</xdr:col>
      <xdr:colOff>1</xdr:colOff>
      <xdr:row>1</xdr:row>
      <xdr:rowOff>172279</xdr:rowOff>
    </xdr:from>
    <xdr:to>
      <xdr:col>28</xdr:col>
      <xdr:colOff>323022</xdr:colOff>
      <xdr:row>82</xdr:row>
      <xdr:rowOff>182218</xdr:rowOff>
    </xdr:to>
    <xdr:sp macro="" textlink="">
      <xdr:nvSpPr>
        <xdr:cNvPr id="5" name="Rectangle: Rounded Corners 4">
          <a:extLst>
            <a:ext uri="{FF2B5EF4-FFF2-40B4-BE49-F238E27FC236}">
              <a16:creationId xmlns:a16="http://schemas.microsoft.com/office/drawing/2014/main" id="{13DF9A70-C679-ABDD-80E2-A0A688439FE6}"/>
            </a:ext>
          </a:extLst>
        </xdr:cNvPr>
        <xdr:cNvSpPr/>
      </xdr:nvSpPr>
      <xdr:spPr>
        <a:xfrm>
          <a:off x="9193697" y="362779"/>
          <a:ext cx="8290890" cy="15440439"/>
        </a:xfrm>
        <a:prstGeom prst="roundRect">
          <a:avLst>
            <a:gd name="adj" fmla="val 9181"/>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b="1" baseline="0">
              <a:solidFill>
                <a:schemeClr val="lt1"/>
              </a:solidFill>
              <a:effectLst/>
              <a:latin typeface="Consolas" panose="020B0609020204030204" pitchFamily="49" charset="0"/>
              <a:ea typeface="+mn-ea"/>
              <a:cs typeface="+mn-cs"/>
            </a:rPr>
            <a:t>PRE-ANALYSIS CITATIONS</a:t>
          </a:r>
        </a:p>
        <a:p>
          <a:endParaRPr lang="en-US" sz="1400" b="1" baseline="0">
            <a:solidFill>
              <a:schemeClr val="lt1"/>
            </a:solidFill>
            <a:effectLst/>
            <a:latin typeface="Consolas" panose="020B0609020204030204" pitchFamily="49" charset="0"/>
            <a:ea typeface="+mn-ea"/>
            <a:cs typeface="+mn-cs"/>
          </a:endParaRPr>
        </a:p>
        <a:p>
          <a:r>
            <a:rPr lang="en-US" sz="1000" b="1">
              <a:latin typeface="Consolas" panose="020B0609020204030204" pitchFamily="49" charset="0"/>
            </a:rPr>
            <a:t>1.Loan Approval Prediction Analysis</a:t>
          </a:r>
          <a:endParaRPr lang="en-US" sz="1000">
            <a:latin typeface="Consolas" panose="020B0609020204030204" pitchFamily="49" charset="0"/>
          </a:endParaRPr>
        </a:p>
        <a:p>
          <a:r>
            <a:rPr lang="en-US" sz="1000" b="1">
              <a:latin typeface="Consolas" panose="020B0609020204030204" pitchFamily="49" charset="0"/>
            </a:rPr>
            <a:t>Objective</a:t>
          </a:r>
          <a:r>
            <a:rPr lang="en-US" sz="1000" b="0" baseline="0">
              <a:latin typeface="Consolas" panose="020B0609020204030204" pitchFamily="49" charset="0"/>
            </a:rPr>
            <a:t>:</a:t>
          </a:r>
          <a:r>
            <a:rPr lang="en-US" sz="1000">
              <a:latin typeface="Consolas" panose="020B0609020204030204" pitchFamily="49" charset="0"/>
            </a:rPr>
            <a:t>To determine the likelihood of loan approval or rejection by analyzing key applicant attributes that influence lending decisions.</a:t>
          </a:r>
        </a:p>
        <a:p>
          <a:r>
            <a:rPr lang="en-US" sz="1000" b="1">
              <a:latin typeface="Consolas" panose="020B0609020204030204" pitchFamily="49" charset="0"/>
            </a:rPr>
            <a:t>Analytical Approach</a:t>
          </a:r>
          <a:br>
            <a:rPr lang="en-US" sz="1000">
              <a:latin typeface="Consolas" panose="020B0609020204030204" pitchFamily="49" charset="0"/>
            </a:rPr>
          </a:br>
          <a:r>
            <a:rPr lang="en-US" sz="1000">
              <a:latin typeface="Consolas" panose="020B0609020204030204" pitchFamily="49" charset="0"/>
            </a:rPr>
            <a:t>Evaluate the relationship between </a:t>
          </a:r>
          <a:r>
            <a:rPr lang="en-US" sz="1000" b="0">
              <a:latin typeface="Consolas" panose="020B0609020204030204" pitchFamily="49" charset="0"/>
            </a:rPr>
            <a:t>Credit History </a:t>
          </a:r>
          <a:r>
            <a:rPr lang="en-US" sz="1000">
              <a:latin typeface="Consolas" panose="020B0609020204030204" pitchFamily="49" charset="0"/>
            </a:rPr>
            <a:t>and </a:t>
          </a:r>
          <a:r>
            <a:rPr lang="en-US" sz="1000" b="0">
              <a:latin typeface="Consolas" panose="020B0609020204030204" pitchFamily="49" charset="0"/>
            </a:rPr>
            <a:t>Loan</a:t>
          </a:r>
          <a:r>
            <a:rPr lang="en-US" sz="1000" b="1">
              <a:latin typeface="Consolas" panose="020B0609020204030204" pitchFamily="49" charset="0"/>
            </a:rPr>
            <a:t> </a:t>
          </a:r>
          <a:r>
            <a:rPr lang="en-US" sz="1000" b="0">
              <a:latin typeface="Consolas" panose="020B0609020204030204" pitchFamily="49" charset="0"/>
            </a:rPr>
            <a:t>Approval Status </a:t>
          </a:r>
          <a:r>
            <a:rPr lang="en-US" sz="1000">
              <a:latin typeface="Consolas" panose="020B0609020204030204" pitchFamily="49" charset="0"/>
            </a:rPr>
            <a:t>to understand how an applicant’s credit background impacts the bank’s lending decision.</a:t>
          </a:r>
        </a:p>
        <a:p>
          <a:r>
            <a:rPr lang="en-US" sz="1000" b="1">
              <a:latin typeface="Consolas" panose="020B0609020204030204" pitchFamily="49" charset="0"/>
            </a:rPr>
            <a:t>Expected Insight</a:t>
          </a:r>
          <a:br>
            <a:rPr lang="en-US" sz="1000">
              <a:latin typeface="Consolas" panose="020B0609020204030204" pitchFamily="49" charset="0"/>
            </a:rPr>
          </a:br>
          <a:r>
            <a:rPr lang="en-US" sz="1000">
              <a:latin typeface="Consolas" panose="020B0609020204030204" pitchFamily="49" charset="0"/>
            </a:rPr>
            <a:t>This analysis will help identify the </a:t>
          </a:r>
          <a:r>
            <a:rPr lang="en-US" sz="1000" b="0">
              <a:latin typeface="Consolas" panose="020B0609020204030204" pitchFamily="49" charset="0"/>
            </a:rPr>
            <a:t>critical factors influencing loan approval, </a:t>
          </a:r>
          <a:r>
            <a:rPr lang="en-US" sz="1000">
              <a:latin typeface="Consolas" panose="020B0609020204030204" pitchFamily="49" charset="0"/>
            </a:rPr>
            <a:t>providing insights into borrower creditworthiness and supporting more informed and data-driven lending decisions.</a:t>
          </a:r>
        </a:p>
        <a:p>
          <a:r>
            <a:rPr lang="en-US" sz="1000">
              <a:latin typeface="Consolas" panose="020B0609020204030204" pitchFamily="49" charset="0"/>
            </a:rPr>
            <a:t>2. </a:t>
          </a:r>
          <a:r>
            <a:rPr lang="en-US" sz="1000" b="1">
              <a:latin typeface="Consolas" panose="020B0609020204030204" pitchFamily="49" charset="0"/>
            </a:rPr>
            <a:t>Applicant Income Analysis</a:t>
          </a:r>
          <a:endParaRPr lang="en-US" sz="1000">
            <a:latin typeface="Consolas" panose="020B0609020204030204" pitchFamily="49" charset="0"/>
          </a:endParaRPr>
        </a:p>
        <a:p>
          <a:r>
            <a:rPr lang="en-US" sz="1000" b="1">
              <a:latin typeface="Consolas" panose="020B0609020204030204" pitchFamily="49" charset="0"/>
            </a:rPr>
            <a:t>Objective</a:t>
          </a:r>
          <a:r>
            <a:rPr lang="en-US" sz="1000" b="0">
              <a:latin typeface="Consolas" panose="020B0609020204030204" pitchFamily="49" charset="0"/>
            </a:rPr>
            <a:t>:</a:t>
          </a:r>
          <a:r>
            <a:rPr lang="en-US" sz="1000">
              <a:latin typeface="Consolas" panose="020B0609020204030204" pitchFamily="49" charset="0"/>
            </a:rPr>
            <a:t>To identify the income segments that apply for loans most frequently and understand how income levels influence borrowing behavior.</a:t>
          </a:r>
        </a:p>
        <a:p>
          <a:r>
            <a:rPr lang="en-US" sz="1000" b="1">
              <a:latin typeface="Consolas" panose="020B0609020204030204" pitchFamily="49" charset="0"/>
            </a:rPr>
            <a:t>Analytical Approach</a:t>
          </a:r>
          <a:br>
            <a:rPr lang="en-US" sz="1000">
              <a:latin typeface="Consolas" panose="020B0609020204030204" pitchFamily="49" charset="0"/>
            </a:rPr>
          </a:br>
          <a:r>
            <a:rPr lang="en-US" sz="1000">
              <a:latin typeface="Consolas" panose="020B0609020204030204" pitchFamily="49" charset="0"/>
            </a:rPr>
            <a:t>Examine the relationship between </a:t>
          </a:r>
          <a:r>
            <a:rPr lang="en-US" sz="1000" b="0">
              <a:latin typeface="Consolas" panose="020B0609020204030204" pitchFamily="49" charset="0"/>
            </a:rPr>
            <a:t>Applicant Income </a:t>
          </a:r>
          <a:r>
            <a:rPr lang="en-US" sz="1000">
              <a:latin typeface="Consolas" panose="020B0609020204030204" pitchFamily="49" charset="0"/>
            </a:rPr>
            <a:t>and</a:t>
          </a:r>
          <a:r>
            <a:rPr lang="en-US" sz="1000" b="1">
              <a:latin typeface="Consolas" panose="020B0609020204030204" pitchFamily="49" charset="0"/>
            </a:rPr>
            <a:t> Loan </a:t>
          </a:r>
          <a:r>
            <a:rPr lang="en-US" sz="1000" b="0">
              <a:latin typeface="Consolas" panose="020B0609020204030204" pitchFamily="49" charset="0"/>
            </a:rPr>
            <a:t>Amount</a:t>
          </a:r>
          <a:r>
            <a:rPr lang="en-US" sz="1000">
              <a:latin typeface="Consolas" panose="020B0609020204030204" pitchFamily="49" charset="0"/>
            </a:rPr>
            <a:t> to assess how income levels affect the size of loans requested by applicants.</a:t>
          </a:r>
        </a:p>
        <a:p>
          <a:r>
            <a:rPr lang="en-US" sz="1000" b="1">
              <a:latin typeface="Consolas" panose="020B0609020204030204" pitchFamily="49" charset="0"/>
            </a:rPr>
            <a:t>Expected Insight</a:t>
          </a:r>
          <a:br>
            <a:rPr lang="en-US" sz="1000">
              <a:latin typeface="Consolas" panose="020B0609020204030204" pitchFamily="49" charset="0"/>
            </a:rPr>
          </a:br>
          <a:r>
            <a:rPr lang="en-US" sz="1000">
              <a:latin typeface="Consolas" panose="020B0609020204030204" pitchFamily="49" charset="0"/>
            </a:rPr>
            <a:t>This analysis will reveal whether </a:t>
          </a:r>
          <a:r>
            <a:rPr lang="en-US" sz="1000" b="0">
              <a:latin typeface="Consolas" panose="020B0609020204030204" pitchFamily="49" charset="0"/>
            </a:rPr>
            <a:t>higher-income applicants tend to request larger loan amounts </a:t>
          </a:r>
          <a:r>
            <a:rPr lang="en-US" sz="1000">
              <a:latin typeface="Consolas" panose="020B0609020204030204" pitchFamily="49" charset="0"/>
            </a:rPr>
            <a:t>and whether </a:t>
          </a:r>
          <a:r>
            <a:rPr lang="en-US" sz="1000" b="0">
              <a:latin typeface="Consolas" panose="020B0609020204030204" pitchFamily="49" charset="0"/>
            </a:rPr>
            <a:t>lower-income</a:t>
          </a:r>
          <a:r>
            <a:rPr lang="en-US" sz="1000" b="1">
              <a:latin typeface="Consolas" panose="020B0609020204030204" pitchFamily="49" charset="0"/>
            </a:rPr>
            <a:t> </a:t>
          </a:r>
          <a:r>
            <a:rPr lang="en-US" sz="1000" b="0">
              <a:latin typeface="Consolas" panose="020B0609020204030204" pitchFamily="49" charset="0"/>
            </a:rPr>
            <a:t>applicants experience higher rejection rates, </a:t>
          </a:r>
          <a:r>
            <a:rPr lang="en-US" sz="1000">
              <a:latin typeface="Consolas" panose="020B0609020204030204" pitchFamily="49" charset="0"/>
            </a:rPr>
            <a:t>providing valuable insights into borrower affordability patterns and lending risk.</a:t>
          </a:r>
        </a:p>
        <a:p>
          <a:r>
            <a:rPr lang="en-US" sz="1000">
              <a:latin typeface="Consolas" panose="020B0609020204030204" pitchFamily="49" charset="0"/>
            </a:rPr>
            <a:t>3. </a:t>
          </a:r>
          <a:r>
            <a:rPr lang="en-US" sz="1000" b="1">
              <a:latin typeface="Consolas" panose="020B0609020204030204" pitchFamily="49" charset="0"/>
            </a:rPr>
            <a:t>Credit History Impact on Loan Approval</a:t>
          </a:r>
          <a:endParaRPr lang="en-US" sz="1000">
            <a:latin typeface="Consolas" panose="020B0609020204030204" pitchFamily="49" charset="0"/>
          </a:endParaRPr>
        </a:p>
        <a:p>
          <a:r>
            <a:rPr lang="en-US" sz="1000" b="1">
              <a:latin typeface="Consolas" panose="020B0609020204030204" pitchFamily="49" charset="0"/>
            </a:rPr>
            <a:t>Objective</a:t>
          </a:r>
          <a:r>
            <a:rPr lang="en-US" sz="1000" b="0">
              <a:latin typeface="Consolas" panose="020B0609020204030204" pitchFamily="49" charset="0"/>
            </a:rPr>
            <a:t>:</a:t>
          </a:r>
          <a:r>
            <a:rPr lang="en-US" sz="1000">
              <a:latin typeface="Consolas" panose="020B0609020204030204" pitchFamily="49" charset="0"/>
            </a:rPr>
            <a:t>To assess the extent to which an applicant’s credit history influences the likelihood of loan approval.</a:t>
          </a:r>
        </a:p>
        <a:p>
          <a:r>
            <a:rPr lang="en-US" sz="1000" b="1">
              <a:latin typeface="Consolas" panose="020B0609020204030204" pitchFamily="49" charset="0"/>
            </a:rPr>
            <a:t>Analytical Approach</a:t>
          </a:r>
          <a:br>
            <a:rPr lang="en-US" sz="1000">
              <a:latin typeface="Consolas" panose="020B0609020204030204" pitchFamily="49" charset="0"/>
            </a:rPr>
          </a:br>
          <a:r>
            <a:rPr lang="en-US" sz="1000">
              <a:latin typeface="Consolas" panose="020B0609020204030204" pitchFamily="49" charset="0"/>
            </a:rPr>
            <a:t>Analyze the relationship between </a:t>
          </a:r>
          <a:r>
            <a:rPr lang="en-US" sz="1000" b="0">
              <a:latin typeface="Consolas" panose="020B0609020204030204" pitchFamily="49" charset="0"/>
            </a:rPr>
            <a:t>Credit History </a:t>
          </a:r>
          <a:r>
            <a:rPr lang="en-US" sz="1000">
              <a:latin typeface="Consolas" panose="020B0609020204030204" pitchFamily="49" charset="0"/>
            </a:rPr>
            <a:t>and </a:t>
          </a:r>
          <a:r>
            <a:rPr lang="en-US" sz="1000" b="0">
              <a:latin typeface="Consolas" panose="020B0609020204030204" pitchFamily="49" charset="0"/>
            </a:rPr>
            <a:t>Loan</a:t>
          </a:r>
          <a:r>
            <a:rPr lang="en-US" sz="1000" b="1">
              <a:latin typeface="Consolas" panose="020B0609020204030204" pitchFamily="49" charset="0"/>
            </a:rPr>
            <a:t> Approval Status</a:t>
          </a:r>
          <a:r>
            <a:rPr lang="en-US" sz="1000">
              <a:latin typeface="Consolas" panose="020B0609020204030204" pitchFamily="49" charset="0"/>
            </a:rPr>
            <a:t> to evaluate how past credit behavior affects lending decisions.</a:t>
          </a:r>
        </a:p>
        <a:p>
          <a:r>
            <a:rPr lang="en-US" sz="1000" b="1">
              <a:latin typeface="Consolas" panose="020B0609020204030204" pitchFamily="49" charset="0"/>
            </a:rPr>
            <a:t>Expected Insight</a:t>
          </a:r>
          <a:br>
            <a:rPr lang="en-US" sz="1000">
              <a:latin typeface="Consolas" panose="020B0609020204030204" pitchFamily="49" charset="0"/>
            </a:rPr>
          </a:br>
          <a:r>
            <a:rPr lang="en-US" sz="1000">
              <a:latin typeface="Consolas" panose="020B0609020204030204" pitchFamily="49" charset="0"/>
            </a:rPr>
            <a:t>This analysis will highlight whether applicants with </a:t>
          </a:r>
          <a:r>
            <a:rPr lang="en-US" sz="1000" b="0">
              <a:latin typeface="Consolas" panose="020B0609020204030204" pitchFamily="49" charset="0"/>
            </a:rPr>
            <a:t>strong</a:t>
          </a:r>
          <a:r>
            <a:rPr lang="en-US" sz="1000" b="1">
              <a:latin typeface="Consolas" panose="020B0609020204030204" pitchFamily="49" charset="0"/>
            </a:rPr>
            <a:t> </a:t>
          </a:r>
          <a:r>
            <a:rPr lang="en-US" sz="1000" b="0">
              <a:latin typeface="Consolas" panose="020B0609020204030204" pitchFamily="49" charset="0"/>
            </a:rPr>
            <a:t>credit histories have higher approval rates</a:t>
          </a:r>
          <a:r>
            <a:rPr lang="en-US" sz="1000">
              <a:latin typeface="Consolas" panose="020B0609020204030204" pitchFamily="49" charset="0"/>
            </a:rPr>
            <a:t>, helping to identify credit history as a key factor in determining borrower reliability and overall lending risk.</a:t>
          </a:r>
        </a:p>
        <a:p>
          <a:r>
            <a:rPr lang="en-US" sz="1000" baseline="0">
              <a:latin typeface="Consolas" panose="020B0609020204030204" pitchFamily="49" charset="0"/>
            </a:rPr>
            <a:t> </a:t>
          </a:r>
        </a:p>
        <a:p>
          <a:r>
            <a:rPr lang="en-US" sz="1000" baseline="0">
              <a:latin typeface="Consolas" panose="020B0609020204030204" pitchFamily="49" charset="0"/>
            </a:rPr>
            <a:t>4. </a:t>
          </a:r>
          <a:r>
            <a:rPr lang="en-US" sz="1000" b="1">
              <a:latin typeface="Consolas" panose="020B0609020204030204" pitchFamily="49" charset="0"/>
            </a:rPr>
            <a:t>Gender-Based Loan Approval Analysis</a:t>
          </a:r>
          <a:endParaRPr lang="en-US" sz="1000">
            <a:latin typeface="Consolas" panose="020B0609020204030204" pitchFamily="49" charset="0"/>
          </a:endParaRPr>
        </a:p>
        <a:p>
          <a:r>
            <a:rPr lang="en-US" sz="1000" b="1">
              <a:latin typeface="Consolas" panose="020B0609020204030204" pitchFamily="49" charset="0"/>
            </a:rPr>
            <a:t>Objective</a:t>
          </a:r>
          <a:r>
            <a:rPr lang="en-US" sz="1000" b="0">
              <a:latin typeface="Consolas" panose="020B0609020204030204" pitchFamily="49" charset="0"/>
            </a:rPr>
            <a:t>:</a:t>
          </a:r>
          <a:r>
            <a:rPr lang="en-US" sz="1000">
              <a:latin typeface="Consolas" panose="020B0609020204030204" pitchFamily="49" charset="0"/>
            </a:rPr>
            <a:t>To evaluate whether loan approval rates differ between male and female applicants.</a:t>
          </a:r>
        </a:p>
        <a:p>
          <a:r>
            <a:rPr lang="en-US" sz="1000" b="1">
              <a:latin typeface="Consolas" panose="020B0609020204030204" pitchFamily="49" charset="0"/>
            </a:rPr>
            <a:t>Analytical Approach</a:t>
          </a:r>
          <a:br>
            <a:rPr lang="en-US" sz="1000">
              <a:latin typeface="Consolas" panose="020B0609020204030204" pitchFamily="49" charset="0"/>
            </a:rPr>
          </a:br>
          <a:r>
            <a:rPr lang="en-US" sz="1000">
              <a:latin typeface="Consolas" panose="020B0609020204030204" pitchFamily="49" charset="0"/>
            </a:rPr>
            <a:t>Examine the relationship between </a:t>
          </a:r>
          <a:r>
            <a:rPr lang="en-US" sz="1000" b="0">
              <a:latin typeface="Consolas" panose="020B0609020204030204" pitchFamily="49" charset="0"/>
            </a:rPr>
            <a:t>Gender</a:t>
          </a:r>
          <a:r>
            <a:rPr lang="en-US" sz="1000">
              <a:latin typeface="Consolas" panose="020B0609020204030204" pitchFamily="49" charset="0"/>
            </a:rPr>
            <a:t> and </a:t>
          </a:r>
          <a:r>
            <a:rPr lang="en-US" sz="1000" b="0">
              <a:latin typeface="Consolas" panose="020B0609020204030204" pitchFamily="49" charset="0"/>
            </a:rPr>
            <a:t>Loan Approval Status </a:t>
          </a:r>
          <a:r>
            <a:rPr lang="en-US" sz="1000">
              <a:latin typeface="Consolas" panose="020B0609020204030204" pitchFamily="49" charset="0"/>
            </a:rPr>
            <a:t>to identify patterns in approval outcomes across applicant demographics.</a:t>
          </a:r>
        </a:p>
        <a:p>
          <a:r>
            <a:rPr lang="en-US" sz="1000" b="1">
              <a:latin typeface="Consolas" panose="020B0609020204030204" pitchFamily="49" charset="0"/>
            </a:rPr>
            <a:t>Expected Insight</a:t>
          </a:r>
          <a:br>
            <a:rPr lang="en-US" sz="1000">
              <a:latin typeface="Consolas" panose="020B0609020204030204" pitchFamily="49" charset="0"/>
            </a:rPr>
          </a:br>
          <a:r>
            <a:rPr lang="en-US" sz="1000">
              <a:latin typeface="Consolas" panose="020B0609020204030204" pitchFamily="49" charset="0"/>
            </a:rPr>
            <a:t>This analysis will reveal whether </a:t>
          </a:r>
          <a:r>
            <a:rPr lang="en-US" sz="1000" b="0">
              <a:latin typeface="Consolas" panose="020B0609020204030204" pitchFamily="49" charset="0"/>
            </a:rPr>
            <a:t>loan approval rates vary by gender, </a:t>
          </a:r>
          <a:r>
            <a:rPr lang="en-US" sz="1000">
              <a:latin typeface="Consolas" panose="020B0609020204030204" pitchFamily="49" charset="0"/>
            </a:rPr>
            <a:t>helping to identify potential disparities and ensure fairness and transparency in the lending decision process.</a:t>
          </a:r>
        </a:p>
        <a:p>
          <a:endParaRPr lang="en-US" sz="1000">
            <a:latin typeface="Consolas" panose="020B0609020204030204" pitchFamily="49" charset="0"/>
          </a:endParaRPr>
        </a:p>
        <a:p>
          <a:r>
            <a:rPr lang="en-US" sz="1000">
              <a:latin typeface="Consolas" panose="020B0609020204030204" pitchFamily="49" charset="0"/>
            </a:rPr>
            <a:t>5. </a:t>
          </a:r>
          <a:r>
            <a:rPr lang="en-US" sz="1000" b="1">
              <a:latin typeface="Consolas" panose="020B0609020204030204" pitchFamily="49" charset="0"/>
            </a:rPr>
            <a:t>Marital Status and Loan Approval Analysis</a:t>
          </a:r>
          <a:endParaRPr lang="en-US" sz="1000">
            <a:latin typeface="Consolas" panose="020B0609020204030204" pitchFamily="49" charset="0"/>
          </a:endParaRPr>
        </a:p>
        <a:p>
          <a:r>
            <a:rPr lang="en-US" sz="1000" b="1">
              <a:latin typeface="Consolas" panose="020B0609020204030204" pitchFamily="49" charset="0"/>
            </a:rPr>
            <a:t>Objective</a:t>
          </a:r>
          <a:r>
            <a:rPr lang="en-US" sz="1000" b="0">
              <a:latin typeface="Consolas" panose="020B0609020204030204" pitchFamily="49" charset="0"/>
            </a:rPr>
            <a:t>:</a:t>
          </a:r>
          <a:r>
            <a:rPr lang="en-US" sz="1000">
              <a:latin typeface="Consolas" panose="020B0609020204030204" pitchFamily="49" charset="0"/>
            </a:rPr>
            <a:t>To evaluate whether marital status influences the likelihood of loan approval among applicants.</a:t>
          </a:r>
        </a:p>
        <a:p>
          <a:r>
            <a:rPr lang="en-US" sz="1000" b="1">
              <a:latin typeface="Consolas" panose="020B0609020204030204" pitchFamily="49" charset="0"/>
            </a:rPr>
            <a:t>Analytical Approach</a:t>
          </a:r>
          <a:br>
            <a:rPr lang="en-US" sz="1000">
              <a:latin typeface="Consolas" panose="020B0609020204030204" pitchFamily="49" charset="0"/>
            </a:rPr>
          </a:br>
          <a:r>
            <a:rPr lang="en-US" sz="1000">
              <a:latin typeface="Consolas" panose="020B0609020204030204" pitchFamily="49" charset="0"/>
            </a:rPr>
            <a:t>Analyze the relationship between </a:t>
          </a:r>
          <a:r>
            <a:rPr lang="en-US" sz="1000" b="0">
              <a:latin typeface="Consolas" panose="020B0609020204030204" pitchFamily="49" charset="0"/>
            </a:rPr>
            <a:t>Marital Status </a:t>
          </a:r>
          <a:r>
            <a:rPr lang="en-US" sz="1000">
              <a:latin typeface="Consolas" panose="020B0609020204030204" pitchFamily="49" charset="0"/>
            </a:rPr>
            <a:t>and </a:t>
          </a:r>
          <a:r>
            <a:rPr lang="en-US" sz="1000" b="0">
              <a:latin typeface="Consolas" panose="020B0609020204030204" pitchFamily="49" charset="0"/>
            </a:rPr>
            <a:t>Loan Approval Status </a:t>
          </a:r>
          <a:r>
            <a:rPr lang="en-US" sz="1000">
              <a:latin typeface="Consolas" panose="020B0609020204030204" pitchFamily="49" charset="0"/>
            </a:rPr>
            <a:t>to determine whether married applicants experience different approval outcomes compared to unmarried applicants.</a:t>
          </a:r>
        </a:p>
        <a:p>
          <a:r>
            <a:rPr lang="en-US" sz="1000" b="1">
              <a:latin typeface="Consolas" panose="020B0609020204030204" pitchFamily="49" charset="0"/>
            </a:rPr>
            <a:t>Expected Insight</a:t>
          </a:r>
          <a:br>
            <a:rPr lang="en-US" sz="1000">
              <a:latin typeface="Consolas" panose="020B0609020204030204" pitchFamily="49" charset="0"/>
            </a:rPr>
          </a:br>
          <a:r>
            <a:rPr lang="en-US" sz="1000">
              <a:latin typeface="Consolas" panose="020B0609020204030204" pitchFamily="49" charset="0"/>
            </a:rPr>
            <a:t>This analysis will provide insights into whether </a:t>
          </a:r>
          <a:r>
            <a:rPr lang="en-US" sz="1000" b="0">
              <a:latin typeface="Consolas" panose="020B0609020204030204" pitchFamily="49" charset="0"/>
            </a:rPr>
            <a:t>married applicants demonstrate higher financial stability, </a:t>
          </a:r>
          <a:r>
            <a:rPr lang="en-US" sz="1000">
              <a:latin typeface="Consolas" panose="020B0609020204030204" pitchFamily="49" charset="0"/>
            </a:rPr>
            <a:t>potentially leading to higher loan approval rates and influencing lending decisions.</a:t>
          </a:r>
        </a:p>
        <a:p>
          <a:endParaRPr lang="en-US" sz="1000">
            <a:latin typeface="Consolas" panose="020B0609020204030204" pitchFamily="49" charset="0"/>
          </a:endParaRPr>
        </a:p>
        <a:p>
          <a:r>
            <a:rPr lang="en-US" sz="1000">
              <a:latin typeface="Consolas" panose="020B0609020204030204" pitchFamily="49" charset="0"/>
            </a:rPr>
            <a:t>6. </a:t>
          </a:r>
          <a:r>
            <a:rPr lang="en-US" sz="1000" b="1">
              <a:latin typeface="Consolas" panose="020B0609020204030204" pitchFamily="49" charset="0"/>
            </a:rPr>
            <a:t>Loan</a:t>
          </a:r>
          <a:r>
            <a:rPr lang="en-US" sz="1000" b="1" baseline="0">
              <a:latin typeface="Consolas" panose="020B0609020204030204" pitchFamily="49" charset="0"/>
            </a:rPr>
            <a:t> Approval By Number of Dependents</a:t>
          </a:r>
          <a:endParaRPr lang="en-US" sz="1000">
            <a:latin typeface="Consolas" panose="020B0609020204030204" pitchFamily="49" charset="0"/>
          </a:endParaRPr>
        </a:p>
        <a:p>
          <a:r>
            <a:rPr lang="en-US" sz="1000" b="1">
              <a:latin typeface="Consolas" panose="020B0609020204030204" pitchFamily="49" charset="0"/>
            </a:rPr>
            <a:t>Objective</a:t>
          </a:r>
          <a:r>
            <a:rPr lang="en-US" sz="1000" b="0">
              <a:latin typeface="Consolas" panose="020B0609020204030204" pitchFamily="49" charset="0"/>
            </a:rPr>
            <a:t>:</a:t>
          </a:r>
          <a:r>
            <a:rPr lang="en-US" sz="1000">
              <a:latin typeface="Consolas" panose="020B0609020204030204" pitchFamily="49" charset="0"/>
            </a:rPr>
            <a:t>To assess whether the number of dependents an applicant has influences the likelihood of loan approval.</a:t>
          </a:r>
        </a:p>
        <a:p>
          <a:r>
            <a:rPr lang="en-US" sz="1000" b="1">
              <a:latin typeface="Consolas" panose="020B0609020204030204" pitchFamily="49" charset="0"/>
            </a:rPr>
            <a:t>Analytical Approach</a:t>
          </a:r>
          <a:br>
            <a:rPr lang="en-US" sz="1000">
              <a:latin typeface="Consolas" panose="020B0609020204030204" pitchFamily="49" charset="0"/>
            </a:rPr>
          </a:br>
          <a:r>
            <a:rPr lang="en-US" sz="1000">
              <a:latin typeface="Consolas" panose="020B0609020204030204" pitchFamily="49" charset="0"/>
            </a:rPr>
            <a:t>Examine the relationship between </a:t>
          </a:r>
          <a:r>
            <a:rPr lang="en-US" sz="1000" b="0">
              <a:latin typeface="Consolas" panose="020B0609020204030204" pitchFamily="49" charset="0"/>
            </a:rPr>
            <a:t>Number of Dependents</a:t>
          </a:r>
          <a:r>
            <a:rPr lang="en-US" sz="1000">
              <a:latin typeface="Consolas" panose="020B0609020204030204" pitchFamily="49" charset="0"/>
            </a:rPr>
            <a:t> and </a:t>
          </a:r>
          <a:r>
            <a:rPr lang="en-US" sz="1000" b="0">
              <a:latin typeface="Consolas" panose="020B0609020204030204" pitchFamily="49" charset="0"/>
            </a:rPr>
            <a:t>Loan Approval Status</a:t>
          </a:r>
          <a:r>
            <a:rPr lang="en-US" sz="1000">
              <a:latin typeface="Consolas" panose="020B0609020204030204" pitchFamily="49" charset="0"/>
            </a:rPr>
            <a:t> to understand how family size may impact lending decisions.</a:t>
          </a:r>
        </a:p>
        <a:p>
          <a:r>
            <a:rPr lang="en-US" sz="1000" b="1">
              <a:latin typeface="Consolas" panose="020B0609020204030204" pitchFamily="49" charset="0"/>
            </a:rPr>
            <a:t>Expected Insight</a:t>
          </a:r>
          <a:br>
            <a:rPr lang="en-US" sz="1000">
              <a:latin typeface="Consolas" panose="020B0609020204030204" pitchFamily="49" charset="0"/>
            </a:rPr>
          </a:br>
          <a:r>
            <a:rPr lang="en-US" sz="1000">
              <a:latin typeface="Consolas" panose="020B0609020204030204" pitchFamily="49" charset="0"/>
            </a:rPr>
            <a:t>This analysis will help determine whether </a:t>
          </a:r>
          <a:r>
            <a:rPr lang="en-US" sz="1000" b="0">
              <a:latin typeface="Consolas" panose="020B0609020204030204" pitchFamily="49" charset="0"/>
            </a:rPr>
            <a:t>applicants</a:t>
          </a:r>
          <a:r>
            <a:rPr lang="en-US" sz="1000" b="1">
              <a:latin typeface="Consolas" panose="020B0609020204030204" pitchFamily="49" charset="0"/>
            </a:rPr>
            <a:t> </a:t>
          </a:r>
          <a:r>
            <a:rPr lang="en-US" sz="1000" b="0">
              <a:latin typeface="Consolas" panose="020B0609020204030204" pitchFamily="49" charset="0"/>
            </a:rPr>
            <a:t>with more dependents experience different approval rates, </a:t>
          </a:r>
          <a:r>
            <a:rPr lang="en-US" sz="1000">
              <a:latin typeface="Consolas" panose="020B0609020204030204" pitchFamily="49" charset="0"/>
            </a:rPr>
            <a:t>providing insights into how family responsibilities may influence perceived financial stability and loan eligibility.</a:t>
          </a:r>
        </a:p>
        <a:p>
          <a:endParaRPr lang="en-US" sz="1000">
            <a:latin typeface="Consolas" panose="020B0609020204030204" pitchFamily="49" charset="0"/>
          </a:endParaRPr>
        </a:p>
        <a:p>
          <a:r>
            <a:rPr lang="en-US" sz="1000">
              <a:latin typeface="Consolas" panose="020B0609020204030204" pitchFamily="49" charset="0"/>
            </a:rPr>
            <a:t>7. </a:t>
          </a:r>
          <a:r>
            <a:rPr lang="en-US" sz="1000" b="1">
              <a:latin typeface="Consolas" panose="020B0609020204030204" pitchFamily="49" charset="0"/>
            </a:rPr>
            <a:t>Education Level Impact on Loan Approval</a:t>
          </a:r>
          <a:endParaRPr lang="en-US" sz="1000">
            <a:latin typeface="Consolas" panose="020B0609020204030204" pitchFamily="49" charset="0"/>
          </a:endParaRPr>
        </a:p>
        <a:p>
          <a:r>
            <a:rPr lang="en-US" sz="1000" b="1">
              <a:latin typeface="Consolas" panose="020B0609020204030204" pitchFamily="49" charset="0"/>
            </a:rPr>
            <a:t>Objective</a:t>
          </a:r>
          <a:r>
            <a:rPr lang="en-US" sz="1000" b="0">
              <a:latin typeface="Consolas" panose="020B0609020204030204" pitchFamily="49" charset="0"/>
            </a:rPr>
            <a:t>:</a:t>
          </a:r>
          <a:r>
            <a:rPr lang="en-US" sz="1000">
              <a:latin typeface="Consolas" panose="020B0609020204030204" pitchFamily="49" charset="0"/>
            </a:rPr>
            <a:t>To evaluate whether an applicant’s education level influences the likelihood of loan approval.</a:t>
          </a:r>
        </a:p>
        <a:p>
          <a:r>
            <a:rPr lang="en-US" sz="1000" b="1">
              <a:latin typeface="Consolas" panose="020B0609020204030204" pitchFamily="49" charset="0"/>
            </a:rPr>
            <a:t>Analytical Approach</a:t>
          </a:r>
          <a:br>
            <a:rPr lang="en-US" sz="1000">
              <a:latin typeface="Consolas" panose="020B0609020204030204" pitchFamily="49" charset="0"/>
            </a:rPr>
          </a:br>
          <a:r>
            <a:rPr lang="en-US" sz="1000">
              <a:latin typeface="Consolas" panose="020B0609020204030204" pitchFamily="49" charset="0"/>
            </a:rPr>
            <a:t>Analyze the relationship between </a:t>
          </a:r>
          <a:r>
            <a:rPr lang="en-US" sz="1000" b="0">
              <a:latin typeface="Consolas" panose="020B0609020204030204" pitchFamily="49" charset="0"/>
            </a:rPr>
            <a:t>Education Level and Loan Approval Status </a:t>
          </a:r>
          <a:r>
            <a:rPr lang="en-US" sz="1000">
              <a:latin typeface="Consolas" panose="020B0609020204030204" pitchFamily="49" charset="0"/>
            </a:rPr>
            <a:t>to determine how educational background may affect lending outcomes.</a:t>
          </a:r>
        </a:p>
        <a:p>
          <a:r>
            <a:rPr lang="en-US" sz="1000" b="1">
              <a:latin typeface="Consolas" panose="020B0609020204030204" pitchFamily="49" charset="0"/>
            </a:rPr>
            <a:t>Expected Insight</a:t>
          </a:r>
          <a:br>
            <a:rPr lang="en-US" sz="1000">
              <a:latin typeface="Consolas" panose="020B0609020204030204" pitchFamily="49" charset="0"/>
            </a:rPr>
          </a:br>
          <a:r>
            <a:rPr lang="en-US" sz="1000">
              <a:latin typeface="Consolas" panose="020B0609020204030204" pitchFamily="49" charset="0"/>
            </a:rPr>
            <a:t>This analysis will help identify whether applicants with </a:t>
          </a:r>
          <a:r>
            <a:rPr lang="en-US" sz="1000" b="0">
              <a:latin typeface="Consolas" panose="020B0609020204030204" pitchFamily="49" charset="0"/>
            </a:rPr>
            <a:t>higher educational attainment demonstrate greater income stability, </a:t>
          </a:r>
          <a:r>
            <a:rPr lang="en-US" sz="1000">
              <a:latin typeface="Consolas" panose="020B0609020204030204" pitchFamily="49" charset="0"/>
            </a:rPr>
            <a:t>potentially leading to increased loan approval rates and influencing lending decisions.</a:t>
          </a:r>
        </a:p>
        <a:p>
          <a:endParaRPr lang="en-US" sz="1000">
            <a:latin typeface="Consolas" panose="020B0609020204030204" pitchFamily="49" charset="0"/>
          </a:endParaRPr>
        </a:p>
        <a:p>
          <a:r>
            <a:rPr lang="en-US" sz="1000">
              <a:latin typeface="Consolas" panose="020B0609020204030204" pitchFamily="49" charset="0"/>
            </a:rPr>
            <a:t>8. </a:t>
          </a:r>
          <a:r>
            <a:rPr lang="en-US" sz="1000" b="1">
              <a:latin typeface="Consolas" panose="020B0609020204030204" pitchFamily="49" charset="0"/>
            </a:rPr>
            <a:t>Self-Employment Risk Analysis</a:t>
          </a:r>
          <a:endParaRPr lang="en-US" sz="1000">
            <a:latin typeface="Consolas" panose="020B0609020204030204" pitchFamily="49" charset="0"/>
          </a:endParaRPr>
        </a:p>
        <a:p>
          <a:r>
            <a:rPr lang="en-US" sz="1000" b="1">
              <a:latin typeface="Consolas" panose="020B0609020204030204" pitchFamily="49" charset="0"/>
            </a:rPr>
            <a:t>Objective</a:t>
          </a:r>
          <a:r>
            <a:rPr lang="en-US" sz="1000" b="0">
              <a:latin typeface="Consolas" panose="020B0609020204030204" pitchFamily="49" charset="0"/>
            </a:rPr>
            <a:t>:</a:t>
          </a:r>
          <a:r>
            <a:rPr lang="en-US" sz="1000">
              <a:latin typeface="Consolas" panose="020B0609020204030204" pitchFamily="49" charset="0"/>
            </a:rPr>
            <a:t>To evaluate whether self-employment status influences the likelihood of loan approval and assess the potential risk associated with self-employed applicants.</a:t>
          </a:r>
        </a:p>
        <a:p>
          <a:r>
            <a:rPr lang="en-US" sz="1000" b="1">
              <a:latin typeface="Consolas" panose="020B0609020204030204" pitchFamily="49" charset="0"/>
            </a:rPr>
            <a:t>Analytical Approach</a:t>
          </a:r>
          <a:br>
            <a:rPr lang="en-US" sz="1000">
              <a:latin typeface="Consolas" panose="020B0609020204030204" pitchFamily="49" charset="0"/>
            </a:rPr>
          </a:br>
          <a:r>
            <a:rPr lang="en-US" sz="1000">
              <a:latin typeface="Consolas" panose="020B0609020204030204" pitchFamily="49" charset="0"/>
            </a:rPr>
            <a:t>Analyze the relationship between </a:t>
          </a:r>
          <a:r>
            <a:rPr lang="en-US" sz="1000" b="0">
              <a:latin typeface="Consolas" panose="020B0609020204030204" pitchFamily="49" charset="0"/>
            </a:rPr>
            <a:t>Self-Employment Status </a:t>
          </a:r>
          <a:r>
            <a:rPr lang="en-US" sz="1000">
              <a:latin typeface="Consolas" panose="020B0609020204030204" pitchFamily="49" charset="0"/>
            </a:rPr>
            <a:t>and </a:t>
          </a:r>
          <a:r>
            <a:rPr lang="en-US" sz="1000" b="0">
              <a:latin typeface="Consolas" panose="020B0609020204030204" pitchFamily="49" charset="0"/>
            </a:rPr>
            <a:t>Loan Approval Status </a:t>
          </a:r>
          <a:r>
            <a:rPr lang="en-US" sz="1000">
              <a:latin typeface="Consolas" panose="020B0609020204030204" pitchFamily="49" charset="0"/>
            </a:rPr>
            <a:t>to determine how employment type impacts lending decisions.</a:t>
          </a:r>
        </a:p>
        <a:p>
          <a:r>
            <a:rPr lang="en-US" sz="1000" b="1">
              <a:latin typeface="Consolas" panose="020B0609020204030204" pitchFamily="49" charset="0"/>
            </a:rPr>
            <a:t>Expected Insight</a:t>
          </a:r>
          <a:br>
            <a:rPr lang="en-US" sz="1000">
              <a:latin typeface="Consolas" panose="020B0609020204030204" pitchFamily="49" charset="0"/>
            </a:rPr>
          </a:br>
          <a:r>
            <a:rPr lang="en-US" sz="1000">
              <a:latin typeface="Consolas" panose="020B0609020204030204" pitchFamily="49" charset="0"/>
            </a:rPr>
            <a:t>This analysis will help determine whether </a:t>
          </a:r>
          <a:r>
            <a:rPr lang="en-US" sz="1000" b="0">
              <a:latin typeface="Consolas" panose="020B0609020204030204" pitchFamily="49" charset="0"/>
            </a:rPr>
            <a:t>self-employed applicants face different approval rates compared to salaried applicants</a:t>
          </a:r>
          <a:r>
            <a:rPr lang="en-US" sz="1000">
              <a:latin typeface="Consolas" panose="020B0609020204030204" pitchFamily="49" charset="0"/>
            </a:rPr>
            <a:t>, providing insight into perceived income stability and potential lending risk.</a:t>
          </a:r>
        </a:p>
        <a:p>
          <a:endParaRPr lang="en-US" sz="1000">
            <a:latin typeface="Consolas" panose="020B0609020204030204" pitchFamily="49" charset="0"/>
          </a:endParaRPr>
        </a:p>
        <a:p>
          <a:r>
            <a:rPr lang="en-US" sz="1000">
              <a:latin typeface="Consolas" panose="020B0609020204030204" pitchFamily="49" charset="0"/>
            </a:rPr>
            <a:t>9. </a:t>
          </a:r>
          <a:r>
            <a:rPr lang="en-US" sz="1000" b="1">
              <a:latin typeface="Consolas" panose="020B0609020204030204" pitchFamily="49" charset="0"/>
            </a:rPr>
            <a:t>Total Applicant Income Analysis</a:t>
          </a:r>
          <a:endParaRPr lang="en-US" sz="1000">
            <a:latin typeface="Consolas" panose="020B0609020204030204" pitchFamily="49" charset="0"/>
          </a:endParaRPr>
        </a:p>
        <a:p>
          <a:r>
            <a:rPr lang="en-US" sz="1000" b="1">
              <a:latin typeface="Consolas" panose="020B0609020204030204" pitchFamily="49" charset="0"/>
            </a:rPr>
            <a:t>Objective</a:t>
          </a:r>
          <a:r>
            <a:rPr lang="en-US" sz="1000" b="0">
              <a:latin typeface="Consolas" panose="020B0609020204030204" pitchFamily="49" charset="0"/>
            </a:rPr>
            <a:t>:</a:t>
          </a:r>
          <a:r>
            <a:rPr lang="en-US" sz="1000" b="0" baseline="0">
              <a:latin typeface="Consolas" panose="020B0609020204030204" pitchFamily="49" charset="0"/>
            </a:rPr>
            <a:t> </a:t>
          </a:r>
          <a:r>
            <a:rPr lang="en-US" sz="1000">
              <a:latin typeface="Consolas" panose="020B0609020204030204" pitchFamily="49" charset="0"/>
            </a:rPr>
            <a:t>To evaluate the influence of total household income on the likelihood of loan approval.</a:t>
          </a:r>
        </a:p>
        <a:p>
          <a:r>
            <a:rPr lang="en-US" sz="1000" b="1">
              <a:latin typeface="Consolas" panose="020B0609020204030204" pitchFamily="49" charset="0"/>
            </a:rPr>
            <a:t>Analytical Approach</a:t>
          </a:r>
          <a:br>
            <a:rPr lang="en-US" sz="1000">
              <a:latin typeface="Consolas" panose="020B0609020204030204" pitchFamily="49" charset="0"/>
            </a:rPr>
          </a:br>
          <a:r>
            <a:rPr lang="en-US" sz="1000">
              <a:latin typeface="Consolas" panose="020B0609020204030204" pitchFamily="49" charset="0"/>
            </a:rPr>
            <a:t>Examine the relationship between </a:t>
          </a:r>
          <a:r>
            <a:rPr lang="en-US" sz="1000" b="0">
              <a:latin typeface="Consolas" panose="020B0609020204030204" pitchFamily="49" charset="0"/>
            </a:rPr>
            <a:t>Total Applicant Income </a:t>
          </a:r>
          <a:r>
            <a:rPr lang="en-US" sz="1000">
              <a:latin typeface="Consolas" panose="020B0609020204030204" pitchFamily="49" charset="0"/>
            </a:rPr>
            <a:t>(the combined income of the applicant and co-applicant) and </a:t>
          </a:r>
          <a:r>
            <a:rPr lang="en-US" sz="1000" b="1">
              <a:latin typeface="Consolas" panose="020B0609020204030204" pitchFamily="49" charset="0"/>
            </a:rPr>
            <a:t>Loan </a:t>
          </a:r>
          <a:r>
            <a:rPr lang="en-US" sz="1000" b="0">
              <a:latin typeface="Consolas" panose="020B0609020204030204" pitchFamily="49" charset="0"/>
            </a:rPr>
            <a:t>Approval Status </a:t>
          </a:r>
          <a:r>
            <a:rPr lang="en-US" sz="1000">
              <a:latin typeface="Consolas" panose="020B0609020204030204" pitchFamily="49" charset="0"/>
            </a:rPr>
            <a:t>to assess how overall income levels affect lending decisions.</a:t>
          </a:r>
        </a:p>
        <a:p>
          <a:r>
            <a:rPr lang="en-US" sz="1000" b="1">
              <a:latin typeface="Consolas" panose="020B0609020204030204" pitchFamily="49" charset="0"/>
            </a:rPr>
            <a:t>Expected Insight</a:t>
          </a:r>
          <a:br>
            <a:rPr lang="en-US" sz="1000">
              <a:latin typeface="Consolas" panose="020B0609020204030204" pitchFamily="49" charset="0"/>
            </a:rPr>
          </a:br>
          <a:r>
            <a:rPr lang="en-US" sz="1000">
              <a:latin typeface="Consolas" panose="020B0609020204030204" pitchFamily="49" charset="0"/>
            </a:rPr>
            <a:t>This analysis will help determine whether applicants with </a:t>
          </a:r>
          <a:r>
            <a:rPr lang="en-US" sz="1000" b="0">
              <a:latin typeface="Consolas" panose="020B0609020204030204" pitchFamily="49" charset="0"/>
            </a:rPr>
            <a:t>higher total income demonstrate stronger loan affordability, </a:t>
          </a:r>
          <a:r>
            <a:rPr lang="en-US" sz="1000">
              <a:latin typeface="Consolas" panose="020B0609020204030204" pitchFamily="49" charset="0"/>
            </a:rPr>
            <a:t>providing insights into their capacity to meet repayment obligations and supporting more informed lending decisions</a:t>
          </a:r>
          <a:r>
            <a:rPr lang="en-US" sz="1000"/>
            <a:t>.</a:t>
          </a:r>
        </a:p>
        <a:p>
          <a:r>
            <a:rPr lang="en-US" sz="1000">
              <a:latin typeface="Consolas" panose="020B0609020204030204" pitchFamily="49" charset="0"/>
            </a:rPr>
            <a:t> </a:t>
          </a:r>
        </a:p>
        <a:p>
          <a:r>
            <a:rPr lang="en-US" sz="1000">
              <a:latin typeface="Consolas" panose="020B0609020204030204" pitchFamily="49" charset="0"/>
            </a:rPr>
            <a:t>10. </a:t>
          </a:r>
          <a:r>
            <a:rPr lang="en-US" sz="1000" b="1">
              <a:latin typeface="Consolas" panose="020B0609020204030204" pitchFamily="49" charset="0"/>
            </a:rPr>
            <a:t>Loan Amount Distribution Analysis</a:t>
          </a:r>
          <a:endParaRPr lang="en-US" sz="1000">
            <a:latin typeface="Consolas" panose="020B0609020204030204" pitchFamily="49" charset="0"/>
          </a:endParaRPr>
        </a:p>
        <a:p>
          <a:r>
            <a:rPr lang="en-US" sz="1000" b="1">
              <a:latin typeface="Consolas" panose="020B0609020204030204" pitchFamily="49" charset="0"/>
            </a:rPr>
            <a:t>Objective</a:t>
          </a:r>
          <a:r>
            <a:rPr lang="en-US" sz="1000" b="0">
              <a:latin typeface="Consolas" panose="020B0609020204030204" pitchFamily="49" charset="0"/>
            </a:rPr>
            <a:t>:</a:t>
          </a:r>
          <a:r>
            <a:rPr lang="en-US" sz="1000" b="0" baseline="0">
              <a:latin typeface="Consolas" panose="020B0609020204030204" pitchFamily="49" charset="0"/>
            </a:rPr>
            <a:t> </a:t>
          </a:r>
          <a:r>
            <a:rPr lang="en-US" sz="1000">
              <a:latin typeface="Consolas" panose="020B0609020204030204" pitchFamily="49" charset="0"/>
            </a:rPr>
            <a:t>To identify the loan amount ranges most frequently requested by applicants.</a:t>
          </a:r>
        </a:p>
        <a:p>
          <a:r>
            <a:rPr lang="en-US" sz="1000" b="1">
              <a:latin typeface="Consolas" panose="020B0609020204030204" pitchFamily="49" charset="0"/>
            </a:rPr>
            <a:t>Analytical Approach</a:t>
          </a:r>
          <a:br>
            <a:rPr lang="en-US" sz="1000" b="0">
              <a:latin typeface="Consolas" panose="020B0609020204030204" pitchFamily="49" charset="0"/>
            </a:rPr>
          </a:br>
          <a:r>
            <a:rPr lang="en-US" sz="1000" b="0">
              <a:latin typeface="Consolas" panose="020B0609020204030204" pitchFamily="49" charset="0"/>
            </a:rPr>
            <a:t>Analyze the relationship between Loan Amount and Count of Loan IDs </a:t>
          </a:r>
          <a:r>
            <a:rPr lang="en-US" sz="1000">
              <a:latin typeface="Consolas" panose="020B0609020204030204" pitchFamily="49" charset="0"/>
            </a:rPr>
            <a:t>to determine the distribution of requested loan sizes.</a:t>
          </a:r>
        </a:p>
        <a:p>
          <a:r>
            <a:rPr lang="en-US" sz="1000" b="1">
              <a:latin typeface="Consolas" panose="020B0609020204030204" pitchFamily="49" charset="0"/>
            </a:rPr>
            <a:t>Expected Insight</a:t>
          </a:r>
          <a:br>
            <a:rPr lang="en-US" sz="1000">
              <a:latin typeface="Consolas" panose="020B0609020204030204" pitchFamily="49" charset="0"/>
            </a:rPr>
          </a:br>
          <a:r>
            <a:rPr lang="en-US" sz="1000">
              <a:latin typeface="Consolas" panose="020B0609020204030204" pitchFamily="49" charset="0"/>
            </a:rPr>
            <a:t>This analysis will help banks understand the </a:t>
          </a:r>
          <a:r>
            <a:rPr lang="en-US" sz="1000" b="0">
              <a:latin typeface="Consolas" panose="020B0609020204030204" pitchFamily="49" charset="0"/>
            </a:rPr>
            <a:t>typical loan ranges preferred by applicants</a:t>
          </a:r>
          <a:r>
            <a:rPr lang="en-US" sz="1000">
              <a:latin typeface="Consolas" panose="020B0609020204030204" pitchFamily="49" charset="0"/>
            </a:rPr>
            <a:t>, supporting better loan product design, risk assessment, and portfolio planning.</a:t>
          </a:r>
        </a:p>
        <a:p>
          <a:endParaRPr lang="en-US" sz="1000">
            <a:latin typeface="Consolas" panose="020B0609020204030204" pitchFamily="49" charset="0"/>
          </a:endParaRPr>
        </a:p>
        <a:p>
          <a:endParaRPr lang="en-US" sz="1000">
            <a:latin typeface="Consolas" panose="020B0609020204030204" pitchFamily="49" charset="0"/>
          </a:endParaRPr>
        </a:p>
        <a:p>
          <a:endParaRPr lang="en-US" sz="1000">
            <a:latin typeface="Consolas" panose="020B0609020204030204" pitchFamily="49" charset="0"/>
          </a:endParaRPr>
        </a:p>
        <a:p>
          <a:endParaRPr lang="en-US" sz="1000">
            <a:latin typeface="Consolas" panose="020B0609020204030204" pitchFamily="49" charset="0"/>
          </a:endParaRPr>
        </a:p>
        <a:p>
          <a:r>
            <a:rPr lang="en-US" sz="1000">
              <a:latin typeface="Consolas" panose="020B0609020204030204" pitchFamily="49" charset="0"/>
            </a:rPr>
            <a:t> </a:t>
          </a:r>
        </a:p>
        <a:p>
          <a:endParaRPr lang="en-US" sz="1000">
            <a:latin typeface="Consolas" panose="020B0609020204030204" pitchFamily="49" charset="0"/>
          </a:endParaRPr>
        </a:p>
        <a:p>
          <a:r>
            <a:rPr lang="en-US" sz="1000" baseline="0">
              <a:latin typeface="Consolas" panose="020B0609020204030204" pitchFamily="49" charset="0"/>
            </a:rPr>
            <a:t> </a:t>
          </a:r>
          <a:endParaRPr lang="en-US" sz="1400"/>
        </a:p>
        <a:p>
          <a:endParaRPr lang="en-US" sz="1400"/>
        </a:p>
        <a:p>
          <a:endParaRPr lang="en-US" sz="1400"/>
        </a:p>
        <a:p>
          <a:endParaRPr lang="en-US" sz="1100" b="0" baseline="0">
            <a:solidFill>
              <a:schemeClr val="lt1"/>
            </a:solidFill>
            <a:effectLst/>
            <a:latin typeface="+mn-lt"/>
            <a:ea typeface="+mn-ea"/>
            <a:cs typeface="+mn-cs"/>
          </a:endParaRPr>
        </a:p>
        <a:p>
          <a:endParaRPr lang="en-US" sz="1100" b="0" baseline="0">
            <a:solidFill>
              <a:schemeClr val="lt1"/>
            </a:solidFill>
            <a:effectLst/>
            <a:latin typeface="+mn-lt"/>
            <a:ea typeface="+mn-ea"/>
            <a:cs typeface="+mn-cs"/>
          </a:endParaRPr>
        </a:p>
        <a:p>
          <a:endParaRPr lang="en-US" sz="1100" b="0" baseline="0">
            <a:solidFill>
              <a:schemeClr val="lt1"/>
            </a:solidFill>
            <a:effectLst/>
            <a:latin typeface="+mn-lt"/>
            <a:ea typeface="+mn-ea"/>
            <a:cs typeface="+mn-cs"/>
          </a:endParaRPr>
        </a:p>
        <a:p>
          <a:endParaRPr lang="en-US" sz="1100" b="0" baseline="0">
            <a:solidFill>
              <a:schemeClr val="lt1"/>
            </a:solidFill>
            <a:effectLst/>
            <a:latin typeface="+mn-lt"/>
            <a:ea typeface="+mn-ea"/>
            <a:cs typeface="+mn-cs"/>
          </a:endParaRPr>
        </a:p>
        <a:p>
          <a:endParaRPr lang="en-US" sz="1100" b="0" baseline="0">
            <a:solidFill>
              <a:schemeClr val="lt1"/>
            </a:solidFill>
            <a:effectLst/>
            <a:latin typeface="+mn-lt"/>
            <a:ea typeface="+mn-ea"/>
            <a:cs typeface="+mn-cs"/>
          </a:endParaRPr>
        </a:p>
        <a:p>
          <a:endParaRPr lang="en-US" sz="1100" b="0" baseline="0">
            <a:solidFill>
              <a:schemeClr val="lt1"/>
            </a:solidFill>
            <a:effectLst/>
            <a:latin typeface="+mn-lt"/>
            <a:ea typeface="+mn-ea"/>
            <a:cs typeface="+mn-cs"/>
          </a:endParaRPr>
        </a:p>
        <a:p>
          <a:endParaRPr lang="en-US" sz="1100" b="0" baseline="0">
            <a:solidFill>
              <a:schemeClr val="lt1"/>
            </a:solidFill>
            <a:effectLst/>
            <a:latin typeface="+mn-lt"/>
            <a:ea typeface="+mn-ea"/>
            <a:cs typeface="+mn-cs"/>
          </a:endParaRPr>
        </a:p>
        <a:p>
          <a:endParaRPr lang="en-US" sz="1100" b="0" baseline="0">
            <a:solidFill>
              <a:schemeClr val="lt1"/>
            </a:solidFill>
            <a:effectLst/>
            <a:latin typeface="+mn-lt"/>
            <a:ea typeface="+mn-ea"/>
            <a:cs typeface="+mn-cs"/>
          </a:endParaRPr>
        </a:p>
        <a:p>
          <a:endParaRPr lang="en-US" sz="1100" b="0" baseline="0">
            <a:solidFill>
              <a:schemeClr val="lt1"/>
            </a:solidFill>
            <a:effectLst/>
            <a:latin typeface="+mn-lt"/>
            <a:ea typeface="+mn-ea"/>
            <a:cs typeface="+mn-cs"/>
          </a:endParaRPr>
        </a:p>
        <a:p>
          <a:endParaRPr lang="en-US" sz="1100" b="0" baseline="0">
            <a:solidFill>
              <a:schemeClr val="lt1"/>
            </a:solidFill>
            <a:effectLst/>
            <a:latin typeface="+mn-lt"/>
            <a:ea typeface="+mn-ea"/>
            <a:cs typeface="+mn-cs"/>
          </a:endParaRPr>
        </a:p>
        <a:p>
          <a:endParaRPr lang="en-US" sz="1100" b="0" baseline="0">
            <a:solidFill>
              <a:schemeClr val="lt1"/>
            </a:solidFill>
            <a:effectLst/>
            <a:latin typeface="+mn-lt"/>
            <a:ea typeface="+mn-ea"/>
            <a:cs typeface="+mn-cs"/>
          </a:endParaRPr>
        </a:p>
        <a:p>
          <a:endParaRPr lang="en-US" sz="1100" b="0" baseline="0">
            <a:solidFill>
              <a:schemeClr val="lt1"/>
            </a:solidFill>
            <a:effectLst/>
            <a:latin typeface="+mn-lt"/>
            <a:ea typeface="+mn-ea"/>
            <a:cs typeface="+mn-cs"/>
          </a:endParaRPr>
        </a:p>
        <a:p>
          <a:endParaRPr lang="en-US" sz="1100" b="0" baseline="0">
            <a:solidFill>
              <a:schemeClr val="lt1"/>
            </a:solidFill>
            <a:effectLst/>
            <a:latin typeface="+mn-lt"/>
            <a:ea typeface="+mn-ea"/>
            <a:cs typeface="+mn-cs"/>
          </a:endParaRPr>
        </a:p>
        <a:p>
          <a:endParaRPr lang="en-US" sz="1100" b="0" baseline="0">
            <a:solidFill>
              <a:schemeClr val="lt1"/>
            </a:solidFill>
            <a:effectLst/>
            <a:latin typeface="+mn-lt"/>
            <a:ea typeface="+mn-ea"/>
            <a:cs typeface="+mn-cs"/>
          </a:endParaRPr>
        </a:p>
        <a:p>
          <a:endParaRPr lang="en-US" sz="1100" b="0" baseline="0">
            <a:solidFill>
              <a:schemeClr val="lt1"/>
            </a:solidFill>
            <a:effectLst/>
            <a:latin typeface="+mn-lt"/>
            <a:ea typeface="+mn-ea"/>
            <a:cs typeface="+mn-cs"/>
          </a:endParaRPr>
        </a:p>
        <a:p>
          <a:endParaRPr lang="en-US" sz="1100" b="0" baseline="0">
            <a:solidFill>
              <a:schemeClr val="lt1"/>
            </a:solidFill>
            <a:effectLst/>
            <a:latin typeface="+mn-lt"/>
            <a:ea typeface="+mn-ea"/>
            <a:cs typeface="+mn-cs"/>
          </a:endParaRPr>
        </a:p>
        <a:p>
          <a:endParaRPr lang="en-US" sz="1100" b="0" baseline="0">
            <a:solidFill>
              <a:schemeClr val="lt1"/>
            </a:solidFill>
            <a:effectLst/>
            <a:latin typeface="+mn-lt"/>
            <a:ea typeface="+mn-ea"/>
            <a:cs typeface="+mn-cs"/>
          </a:endParaRPr>
        </a:p>
        <a:p>
          <a:endParaRPr lang="en-US" sz="1400"/>
        </a:p>
        <a:p>
          <a:endParaRPr lang="en-US" sz="1400">
            <a:effectLst/>
            <a:latin typeface="Consolas" panose="020B0609020204030204" pitchFamily="49" charset="0"/>
          </a:endParaRPr>
        </a:p>
        <a:p>
          <a:endParaRPr lang="en-US" sz="1000" b="0" baseline="0">
            <a:solidFill>
              <a:schemeClr val="lt1"/>
            </a:solidFill>
            <a:effectLst/>
            <a:latin typeface="Consolas" panose="020B0609020204030204" pitchFamily="49" charset="0"/>
            <a:ea typeface="+mn-ea"/>
            <a:cs typeface="+mn-cs"/>
          </a:endParaRPr>
        </a:p>
        <a:p>
          <a:endParaRPr lang="en-US" sz="1000" b="0" baseline="0">
            <a:solidFill>
              <a:schemeClr val="lt1"/>
            </a:solidFill>
            <a:effectLst/>
            <a:latin typeface="Consolas" panose="020B0609020204030204" pitchFamily="49" charset="0"/>
            <a:ea typeface="+mn-ea"/>
            <a:cs typeface="+mn-cs"/>
          </a:endParaRPr>
        </a:p>
        <a:p>
          <a:endParaRPr lang="en-US" sz="1000">
            <a:effectLst/>
            <a:latin typeface="Consolas" panose="020B0609020204030204" pitchFamily="49" charset="0"/>
          </a:endParaRPr>
        </a:p>
        <a:p>
          <a:pPr algn="l"/>
          <a:endParaRPr lang="en-US" sz="1400" baseline="0">
            <a:latin typeface="Consolas" panose="020B0609020204030204" pitchFamily="49" charset="0"/>
          </a:endParaRPr>
        </a:p>
        <a:p>
          <a:pPr algn="l"/>
          <a:endParaRPr lang="en-US" sz="1400" baseline="0">
            <a:latin typeface="Consolas" panose="020B0609020204030204" pitchFamily="49" charset="0"/>
          </a:endParaRPr>
        </a:p>
        <a:p>
          <a:pPr algn="l"/>
          <a:endParaRPr lang="en-US" sz="1400" baseline="0">
            <a:latin typeface="Consolas" panose="020B0609020204030204" pitchFamily="49" charset="0"/>
          </a:endParaRPr>
        </a:p>
        <a:p>
          <a:pPr algn="ctr"/>
          <a:endParaRPr lang="en-US" sz="1400" baseline="0">
            <a:latin typeface="Consolas" panose="020B0609020204030204" pitchFamily="49" charset="0"/>
          </a:endParaRPr>
        </a:p>
        <a:p>
          <a:pPr algn="ctr"/>
          <a:endParaRPr lang="en-US" sz="1400">
            <a:latin typeface="Consolas" panose="020B0609020204030204" pitchFamily="49" charset="0"/>
          </a:endParaRPr>
        </a:p>
      </xdr:txBody>
    </xdr:sp>
    <xdr:clientData/>
  </xdr:twoCellAnchor>
  <xdr:twoCellAnchor>
    <xdr:from>
      <xdr:col>7</xdr:col>
      <xdr:colOff>415789</xdr:colOff>
      <xdr:row>2</xdr:row>
      <xdr:rowOff>18224</xdr:rowOff>
    </xdr:from>
    <xdr:to>
      <xdr:col>14</xdr:col>
      <xdr:colOff>407505</xdr:colOff>
      <xdr:row>39</xdr:row>
      <xdr:rowOff>66261</xdr:rowOff>
    </xdr:to>
    <xdr:sp macro="" textlink="">
      <xdr:nvSpPr>
        <xdr:cNvPr id="6" name="Rectangle: Rounded Corners 5">
          <a:extLst>
            <a:ext uri="{FF2B5EF4-FFF2-40B4-BE49-F238E27FC236}">
              <a16:creationId xmlns:a16="http://schemas.microsoft.com/office/drawing/2014/main" id="{307E1A7F-E148-6E94-CDA5-73D40BF5594D}"/>
            </a:ext>
          </a:extLst>
        </xdr:cNvPr>
        <xdr:cNvSpPr/>
      </xdr:nvSpPr>
      <xdr:spPr>
        <a:xfrm>
          <a:off x="4706180" y="399224"/>
          <a:ext cx="4282108" cy="7096537"/>
        </a:xfrm>
        <a:prstGeom prst="roundRect">
          <a:avLst>
            <a:gd name="adj" fmla="val 9181"/>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1" baseline="0">
              <a:solidFill>
                <a:schemeClr val="lt1"/>
              </a:solidFill>
              <a:effectLst/>
              <a:latin typeface="+mn-lt"/>
              <a:ea typeface="+mn-ea"/>
              <a:cs typeface="+mn-cs"/>
            </a:rPr>
            <a:t>POTENTIAL QUESTIONS/INSIGHTS</a:t>
          </a:r>
          <a:endParaRPr lang="en-US" sz="1000">
            <a:effectLst/>
            <a:latin typeface="Consolas" panose="020B0609020204030204" pitchFamily="49" charset="0"/>
          </a:endParaRPr>
        </a:p>
        <a:p>
          <a:r>
            <a:rPr lang="en-US" sz="1000">
              <a:solidFill>
                <a:schemeClr val="lt1"/>
              </a:solidFill>
              <a:effectLst/>
              <a:latin typeface="Consolas" panose="020B0609020204030204" pitchFamily="49" charset="0"/>
              <a:ea typeface="+mn-ea"/>
              <a:cs typeface="+mn-cs"/>
            </a:rPr>
            <a:t>1.</a:t>
          </a:r>
          <a:r>
            <a:rPr lang="en-US" sz="1000" baseline="0">
              <a:solidFill>
                <a:schemeClr val="lt1"/>
              </a:solidFill>
              <a:effectLst/>
              <a:latin typeface="Consolas" panose="020B0609020204030204" pitchFamily="49" charset="0"/>
              <a:ea typeface="+mn-ea"/>
              <a:cs typeface="+mn-cs"/>
            </a:rPr>
            <a:t> A loan will be approved or rejeced?</a:t>
          </a:r>
          <a:endParaRPr lang="en-US" sz="1000">
            <a:effectLst/>
            <a:latin typeface="Consolas" panose="020B0609020204030204" pitchFamily="49" charset="0"/>
          </a:endParaRPr>
        </a:p>
        <a:p>
          <a:r>
            <a:rPr lang="en-US" sz="1000" b="1" baseline="0">
              <a:solidFill>
                <a:schemeClr val="lt1"/>
              </a:solidFill>
              <a:effectLst/>
              <a:latin typeface="Consolas" panose="020B0609020204030204" pitchFamily="49" charset="0"/>
              <a:ea typeface="+mn-ea"/>
              <a:cs typeface="+mn-cs"/>
            </a:rPr>
            <a:t>Expected Insight: </a:t>
          </a:r>
          <a:r>
            <a:rPr lang="en-US" sz="1000" b="0" baseline="0">
              <a:solidFill>
                <a:schemeClr val="lt1"/>
              </a:solidFill>
              <a:effectLst/>
              <a:latin typeface="Consolas" panose="020B0609020204030204" pitchFamily="49" charset="0"/>
              <a:ea typeface="+mn-ea"/>
              <a:cs typeface="+mn-cs"/>
            </a:rPr>
            <a:t>Identify the factors that most influence the loan approval</a:t>
          </a:r>
          <a:r>
            <a:rPr lang="en-US" sz="1000" baseline="0">
              <a:solidFill>
                <a:schemeClr val="lt1"/>
              </a:solidFill>
              <a:effectLst/>
              <a:latin typeface="Consolas" panose="020B0609020204030204" pitchFamily="49" charset="0"/>
              <a:ea typeface="+mn-ea"/>
              <a:cs typeface="+mn-cs"/>
            </a:rPr>
            <a:t>. </a:t>
          </a:r>
          <a:r>
            <a:rPr lang="en-US" sz="1000" b="1" baseline="0">
              <a:solidFill>
                <a:schemeClr val="lt1"/>
              </a:solidFill>
              <a:effectLst/>
              <a:latin typeface="Consolas" panose="020B0609020204030204" pitchFamily="49" charset="0"/>
              <a:ea typeface="+mn-ea"/>
              <a:cs typeface="+mn-cs"/>
            </a:rPr>
            <a:t>TASK'S CHECKS: </a:t>
          </a:r>
          <a:r>
            <a:rPr lang="en-US" sz="1000" b="0" baseline="0">
              <a:solidFill>
                <a:schemeClr val="lt1"/>
              </a:solidFill>
              <a:effectLst/>
              <a:latin typeface="Consolas" panose="020B0609020204030204" pitchFamily="49" charset="0"/>
              <a:ea typeface="+mn-ea"/>
              <a:cs typeface="+mn-cs"/>
            </a:rPr>
            <a:t>Credit History/Loan Approval.</a:t>
          </a:r>
          <a:endParaRPr lang="en-US" sz="1000">
            <a:effectLst/>
            <a:latin typeface="Consolas" panose="020B0609020204030204" pitchFamily="49" charset="0"/>
          </a:endParaRPr>
        </a:p>
        <a:p>
          <a:r>
            <a:rPr lang="en-US" sz="1000" b="0" baseline="0">
              <a:solidFill>
                <a:schemeClr val="lt1"/>
              </a:solidFill>
              <a:effectLst/>
              <a:latin typeface="Consolas" panose="020B0609020204030204" pitchFamily="49" charset="0"/>
              <a:ea typeface="+mn-ea"/>
              <a:cs typeface="+mn-cs"/>
            </a:rPr>
            <a:t>2.Which income group applies for loans the most?</a:t>
          </a:r>
          <a:endParaRPr lang="en-US" sz="1000">
            <a:effectLst/>
            <a:latin typeface="Consolas" panose="020B0609020204030204" pitchFamily="49" charset="0"/>
          </a:endParaRPr>
        </a:p>
        <a:p>
          <a:r>
            <a:rPr lang="en-US" sz="1000" b="1" baseline="0">
              <a:solidFill>
                <a:schemeClr val="lt1"/>
              </a:solidFill>
              <a:effectLst/>
              <a:latin typeface="Consolas" panose="020B0609020204030204" pitchFamily="49" charset="0"/>
              <a:ea typeface="+mn-ea"/>
              <a:cs typeface="+mn-cs"/>
            </a:rPr>
            <a:t>Expected Insight:</a:t>
          </a:r>
          <a:r>
            <a:rPr lang="en-US" sz="1000" b="0" baseline="0">
              <a:solidFill>
                <a:schemeClr val="lt1"/>
              </a:solidFill>
              <a:effectLst/>
              <a:latin typeface="Consolas" panose="020B0609020204030204" pitchFamily="49" charset="0"/>
              <a:ea typeface="+mn-ea"/>
              <a:cs typeface="+mn-cs"/>
            </a:rPr>
            <a:t> High income applicants request larger loan or low income applicants may have higher rejection rates. </a:t>
          </a:r>
          <a:r>
            <a:rPr lang="en-US" sz="1000" b="1" baseline="0">
              <a:solidFill>
                <a:schemeClr val="lt1"/>
              </a:solidFill>
              <a:effectLst/>
              <a:latin typeface="Consolas" panose="020B0609020204030204" pitchFamily="49" charset="0"/>
              <a:ea typeface="+mn-ea"/>
              <a:cs typeface="+mn-cs"/>
            </a:rPr>
            <a:t>TASK'S</a:t>
          </a:r>
          <a:r>
            <a:rPr lang="en-US" sz="1000" b="0" baseline="0">
              <a:solidFill>
                <a:schemeClr val="lt1"/>
              </a:solidFill>
              <a:effectLst/>
              <a:latin typeface="Consolas" panose="020B0609020204030204" pitchFamily="49" charset="0"/>
              <a:ea typeface="+mn-ea"/>
              <a:cs typeface="+mn-cs"/>
            </a:rPr>
            <a:t> </a:t>
          </a:r>
          <a:r>
            <a:rPr lang="en-US" sz="1000" b="1" baseline="0">
              <a:solidFill>
                <a:schemeClr val="lt1"/>
              </a:solidFill>
              <a:effectLst/>
              <a:latin typeface="Consolas" panose="020B0609020204030204" pitchFamily="49" charset="0"/>
              <a:ea typeface="+mn-ea"/>
              <a:cs typeface="+mn-cs"/>
            </a:rPr>
            <a:t>CHECKS</a:t>
          </a:r>
          <a:r>
            <a:rPr lang="en-US" sz="1000" b="0" baseline="0">
              <a:solidFill>
                <a:schemeClr val="lt1"/>
              </a:solidFill>
              <a:effectLst/>
              <a:latin typeface="Consolas" panose="020B0609020204030204" pitchFamily="49" charset="0"/>
              <a:ea typeface="+mn-ea"/>
              <a:cs typeface="+mn-cs"/>
            </a:rPr>
            <a:t>: ApplicantIncome/LoanAmount.</a:t>
          </a:r>
          <a:endParaRPr lang="en-US" sz="1000">
            <a:effectLst/>
            <a:latin typeface="Consolas" panose="020B0609020204030204" pitchFamily="49" charset="0"/>
          </a:endParaRPr>
        </a:p>
        <a:p>
          <a:r>
            <a:rPr lang="en-US" sz="1000" b="0" baseline="0">
              <a:solidFill>
                <a:schemeClr val="lt1"/>
              </a:solidFill>
              <a:effectLst/>
              <a:latin typeface="Consolas" panose="020B0609020204030204" pitchFamily="49" charset="0"/>
              <a:ea typeface="+mn-ea"/>
              <a:cs typeface="+mn-cs"/>
            </a:rPr>
            <a:t>3.Does credit history affect approval?</a:t>
          </a:r>
          <a:endParaRPr lang="en-US" sz="1000">
            <a:effectLst/>
            <a:latin typeface="Consolas" panose="020B0609020204030204" pitchFamily="49" charset="0"/>
          </a:endParaRPr>
        </a:p>
        <a:p>
          <a:r>
            <a:rPr lang="en-US" sz="1000" b="1" baseline="0">
              <a:solidFill>
                <a:schemeClr val="lt1"/>
              </a:solidFill>
              <a:effectLst/>
              <a:latin typeface="Consolas" panose="020B0609020204030204" pitchFamily="49" charset="0"/>
              <a:ea typeface="+mn-ea"/>
              <a:cs typeface="+mn-cs"/>
            </a:rPr>
            <a:t>Expected Insight:</a:t>
          </a:r>
          <a:r>
            <a:rPr lang="en-US" sz="1000" b="0" baseline="0">
              <a:solidFill>
                <a:schemeClr val="lt1"/>
              </a:solidFill>
              <a:effectLst/>
              <a:latin typeface="Consolas" panose="020B0609020204030204" pitchFamily="49" charset="0"/>
              <a:ea typeface="+mn-ea"/>
              <a:cs typeface="+mn-cs"/>
            </a:rPr>
            <a:t> Applicanats with good credit history have higher approval rates. </a:t>
          </a:r>
          <a:r>
            <a:rPr lang="en-US" sz="1000" b="1" baseline="0">
              <a:solidFill>
                <a:schemeClr val="lt1"/>
              </a:solidFill>
              <a:effectLst/>
              <a:latin typeface="Consolas" panose="020B0609020204030204" pitchFamily="49" charset="0"/>
              <a:ea typeface="+mn-ea"/>
              <a:cs typeface="+mn-cs"/>
            </a:rPr>
            <a:t>TASK'S CHECK:</a:t>
          </a:r>
          <a:r>
            <a:rPr lang="en-US" sz="1000" b="0" baseline="0">
              <a:solidFill>
                <a:schemeClr val="lt1"/>
              </a:solidFill>
              <a:effectLst/>
              <a:latin typeface="Consolas" panose="020B0609020204030204" pitchFamily="49" charset="0"/>
              <a:ea typeface="+mn-ea"/>
              <a:cs typeface="+mn-cs"/>
            </a:rPr>
            <a:t> Credit_History/Loan Approval.</a:t>
          </a:r>
          <a:endParaRPr lang="en-US" sz="1000">
            <a:effectLst/>
            <a:latin typeface="Consolas" panose="020B0609020204030204" pitchFamily="49" charset="0"/>
          </a:endParaRPr>
        </a:p>
        <a:p>
          <a:r>
            <a:rPr lang="en-US" sz="1000" b="0" baseline="0">
              <a:solidFill>
                <a:schemeClr val="lt1"/>
              </a:solidFill>
              <a:effectLst/>
              <a:latin typeface="Consolas" panose="020B0609020204030204" pitchFamily="49" charset="0"/>
              <a:ea typeface="+mn-ea"/>
              <a:cs typeface="+mn-cs"/>
            </a:rPr>
            <a:t>4. Do Males Or Female receive more loan approval?</a:t>
          </a:r>
          <a:endParaRPr lang="en-US" sz="1000">
            <a:effectLst/>
            <a:latin typeface="Consolas" panose="020B0609020204030204" pitchFamily="49" charset="0"/>
          </a:endParaRPr>
        </a:p>
        <a:p>
          <a:r>
            <a:rPr lang="en-US" sz="1000" b="1" baseline="0">
              <a:solidFill>
                <a:schemeClr val="lt1"/>
              </a:solidFill>
              <a:effectLst/>
              <a:latin typeface="Consolas" panose="020B0609020204030204" pitchFamily="49" charset="0"/>
              <a:ea typeface="+mn-ea"/>
              <a:cs typeface="+mn-cs"/>
            </a:rPr>
            <a:t>Expected Insight: </a:t>
          </a:r>
          <a:r>
            <a:rPr lang="en-US" sz="1000" b="0" baseline="0">
              <a:solidFill>
                <a:schemeClr val="lt1"/>
              </a:solidFill>
              <a:effectLst/>
              <a:latin typeface="Consolas" panose="020B0609020204030204" pitchFamily="49" charset="0"/>
              <a:ea typeface="+mn-ea"/>
              <a:cs typeface="+mn-cs"/>
            </a:rPr>
            <a:t>Identify potential gender bias or understand demograpic loan patterns. </a:t>
          </a:r>
          <a:r>
            <a:rPr lang="en-US" sz="1000" b="1" baseline="0">
              <a:solidFill>
                <a:schemeClr val="lt1"/>
              </a:solidFill>
              <a:effectLst/>
              <a:latin typeface="Consolas" panose="020B0609020204030204" pitchFamily="49" charset="0"/>
              <a:ea typeface="+mn-ea"/>
              <a:cs typeface="+mn-cs"/>
            </a:rPr>
            <a:t>TASK'S CHECK: </a:t>
          </a:r>
          <a:r>
            <a:rPr lang="en-US" sz="1000" b="0" baseline="0">
              <a:solidFill>
                <a:schemeClr val="lt1"/>
              </a:solidFill>
              <a:effectLst/>
              <a:latin typeface="Consolas" panose="020B0609020204030204" pitchFamily="49" charset="0"/>
              <a:ea typeface="+mn-ea"/>
              <a:cs typeface="+mn-cs"/>
            </a:rPr>
            <a:t>Gender/Loan approval.</a:t>
          </a:r>
          <a:endParaRPr lang="en-US" sz="1000">
            <a:effectLst/>
            <a:latin typeface="Consolas" panose="020B0609020204030204" pitchFamily="49" charset="0"/>
          </a:endParaRPr>
        </a:p>
        <a:p>
          <a:r>
            <a:rPr lang="en-US" sz="1000" b="0" baseline="0">
              <a:solidFill>
                <a:schemeClr val="lt1"/>
              </a:solidFill>
              <a:effectLst/>
              <a:latin typeface="Consolas" panose="020B0609020204030204" pitchFamily="49" charset="0"/>
              <a:ea typeface="+mn-ea"/>
              <a:cs typeface="+mn-cs"/>
            </a:rPr>
            <a:t>5.Are married applicants more likely to receive loans?</a:t>
          </a:r>
          <a:endParaRPr lang="en-US" sz="1000">
            <a:effectLst/>
            <a:latin typeface="Consolas" panose="020B0609020204030204" pitchFamily="49" charset="0"/>
          </a:endParaRPr>
        </a:p>
        <a:p>
          <a:r>
            <a:rPr lang="en-US" sz="1000" b="1" baseline="0">
              <a:solidFill>
                <a:schemeClr val="lt1"/>
              </a:solidFill>
              <a:effectLst/>
              <a:latin typeface="Consolas" panose="020B0609020204030204" pitchFamily="49" charset="0"/>
              <a:ea typeface="+mn-ea"/>
              <a:cs typeface="+mn-cs"/>
            </a:rPr>
            <a:t>Expected Insight:</a:t>
          </a:r>
          <a:r>
            <a:rPr lang="en-US" sz="1000" b="0" baseline="0">
              <a:solidFill>
                <a:schemeClr val="lt1"/>
              </a:solidFill>
              <a:effectLst/>
              <a:latin typeface="Consolas" panose="020B0609020204030204" pitchFamily="49" charset="0"/>
              <a:ea typeface="+mn-ea"/>
              <a:cs typeface="+mn-cs"/>
            </a:rPr>
            <a:t> Married applicants may show higher financial stability. </a:t>
          </a:r>
          <a:r>
            <a:rPr lang="en-US" sz="1000" b="1" baseline="0">
              <a:solidFill>
                <a:schemeClr val="lt1"/>
              </a:solidFill>
              <a:effectLst/>
              <a:latin typeface="Consolas" panose="020B0609020204030204" pitchFamily="49" charset="0"/>
              <a:ea typeface="+mn-ea"/>
              <a:cs typeface="+mn-cs"/>
            </a:rPr>
            <a:t>TASK"S CHECK: </a:t>
          </a:r>
          <a:r>
            <a:rPr lang="en-US" sz="1000" b="0" baseline="0">
              <a:solidFill>
                <a:schemeClr val="lt1"/>
              </a:solidFill>
              <a:effectLst/>
              <a:latin typeface="Consolas" panose="020B0609020204030204" pitchFamily="49" charset="0"/>
              <a:ea typeface="+mn-ea"/>
              <a:cs typeface="+mn-cs"/>
            </a:rPr>
            <a:t>Married/Loan Approval.</a:t>
          </a:r>
          <a:endParaRPr lang="en-US" sz="1000">
            <a:effectLst/>
            <a:latin typeface="Consolas" panose="020B0609020204030204" pitchFamily="49" charset="0"/>
          </a:endParaRPr>
        </a:p>
        <a:p>
          <a:r>
            <a:rPr lang="en-US" sz="1000" b="0" baseline="0">
              <a:solidFill>
                <a:schemeClr val="lt1"/>
              </a:solidFill>
              <a:effectLst/>
              <a:latin typeface="Consolas" panose="020B0609020204030204" pitchFamily="49" charset="0"/>
              <a:ea typeface="+mn-ea"/>
              <a:cs typeface="+mn-cs"/>
            </a:rPr>
            <a:t>6. Do applicants with more dependents get loans?</a:t>
          </a:r>
          <a:endParaRPr lang="en-US" sz="1000">
            <a:effectLst/>
            <a:latin typeface="Consolas" panose="020B0609020204030204" pitchFamily="49" charset="0"/>
          </a:endParaRPr>
        </a:p>
        <a:p>
          <a:r>
            <a:rPr lang="en-US" sz="1000" b="1" baseline="0">
              <a:solidFill>
                <a:schemeClr val="lt1"/>
              </a:solidFill>
              <a:effectLst/>
              <a:latin typeface="Consolas" panose="020B0609020204030204" pitchFamily="49" charset="0"/>
              <a:ea typeface="+mn-ea"/>
              <a:cs typeface="+mn-cs"/>
            </a:rPr>
            <a:t>Expected Insight:</a:t>
          </a:r>
          <a:r>
            <a:rPr lang="en-US" sz="1000" b="0" baseline="0">
              <a:solidFill>
                <a:schemeClr val="lt1"/>
              </a:solidFill>
              <a:effectLst/>
              <a:latin typeface="Consolas" panose="020B0609020204030204" pitchFamily="49" charset="0"/>
              <a:ea typeface="+mn-ea"/>
              <a:cs typeface="+mn-cs"/>
            </a:rPr>
            <a:t> More dependents may mean higher financial burden or banks may approve smller loan amounts.</a:t>
          </a:r>
          <a:endParaRPr lang="en-US" sz="1000">
            <a:effectLst/>
            <a:latin typeface="Consolas" panose="020B0609020204030204" pitchFamily="49" charset="0"/>
          </a:endParaRPr>
        </a:p>
        <a:p>
          <a:r>
            <a:rPr lang="en-US" sz="1000" b="1" baseline="0">
              <a:solidFill>
                <a:schemeClr val="lt1"/>
              </a:solidFill>
              <a:effectLst/>
              <a:latin typeface="Consolas" panose="020B0609020204030204" pitchFamily="49" charset="0"/>
              <a:ea typeface="+mn-ea"/>
              <a:cs typeface="+mn-cs"/>
            </a:rPr>
            <a:t>TASK'S CHECK: </a:t>
          </a:r>
          <a:r>
            <a:rPr lang="en-US" sz="1000" b="0" baseline="0">
              <a:solidFill>
                <a:schemeClr val="lt1"/>
              </a:solidFill>
              <a:effectLst/>
              <a:latin typeface="Consolas" panose="020B0609020204030204" pitchFamily="49" charset="0"/>
              <a:ea typeface="+mn-ea"/>
              <a:cs typeface="+mn-cs"/>
            </a:rPr>
            <a:t>Dependents/Loan Approval.</a:t>
          </a:r>
          <a:endParaRPr lang="en-US" sz="1000">
            <a:effectLst/>
            <a:latin typeface="Consolas" panose="020B0609020204030204" pitchFamily="49" charset="0"/>
          </a:endParaRPr>
        </a:p>
        <a:p>
          <a:r>
            <a:rPr lang="en-US" sz="1000" b="0" baseline="0">
              <a:solidFill>
                <a:schemeClr val="lt1"/>
              </a:solidFill>
              <a:effectLst/>
              <a:latin typeface="Consolas" panose="020B0609020204030204" pitchFamily="49" charset="0"/>
              <a:ea typeface="+mn-ea"/>
              <a:cs typeface="+mn-cs"/>
            </a:rPr>
            <a:t>7. Does eduction level influence loan approval?</a:t>
          </a:r>
          <a:endParaRPr lang="en-US" sz="1000">
            <a:effectLst/>
            <a:latin typeface="Consolas" panose="020B0609020204030204" pitchFamily="49" charset="0"/>
          </a:endParaRPr>
        </a:p>
        <a:p>
          <a:r>
            <a:rPr lang="en-US" sz="1000" b="1" baseline="0">
              <a:solidFill>
                <a:schemeClr val="lt1"/>
              </a:solidFill>
              <a:effectLst/>
              <a:latin typeface="Consolas" panose="020B0609020204030204" pitchFamily="49" charset="0"/>
              <a:ea typeface="+mn-ea"/>
              <a:cs typeface="+mn-cs"/>
            </a:rPr>
            <a:t>Expected Insight: </a:t>
          </a:r>
          <a:r>
            <a:rPr lang="en-US" sz="1000" b="0" baseline="0">
              <a:solidFill>
                <a:schemeClr val="lt1"/>
              </a:solidFill>
              <a:effectLst/>
              <a:latin typeface="Consolas" panose="020B0609020204030204" pitchFamily="49" charset="0"/>
              <a:ea typeface="+mn-ea"/>
              <a:cs typeface="+mn-cs"/>
            </a:rPr>
            <a:t>Graduates may have higher income stability,increase approval chances. </a:t>
          </a:r>
          <a:r>
            <a:rPr lang="en-US" sz="1000" b="1" baseline="0">
              <a:solidFill>
                <a:schemeClr val="lt1"/>
              </a:solidFill>
              <a:effectLst/>
              <a:latin typeface="Consolas" panose="020B0609020204030204" pitchFamily="49" charset="0"/>
              <a:ea typeface="+mn-ea"/>
              <a:cs typeface="+mn-cs"/>
            </a:rPr>
            <a:t>TASK'S CHECK</a:t>
          </a:r>
          <a:r>
            <a:rPr lang="en-US" sz="1000" b="0" baseline="0">
              <a:solidFill>
                <a:schemeClr val="lt1"/>
              </a:solidFill>
              <a:effectLst/>
              <a:latin typeface="Consolas" panose="020B0609020204030204" pitchFamily="49" charset="0"/>
              <a:ea typeface="+mn-ea"/>
              <a:cs typeface="+mn-cs"/>
            </a:rPr>
            <a:t>: Education/Loan Approval.</a:t>
          </a:r>
          <a:endParaRPr lang="en-US" sz="1000">
            <a:effectLst/>
            <a:latin typeface="Consolas" panose="020B0609020204030204" pitchFamily="49" charset="0"/>
          </a:endParaRPr>
        </a:p>
        <a:p>
          <a:r>
            <a:rPr lang="en-US" sz="1000" b="0" baseline="0">
              <a:solidFill>
                <a:schemeClr val="lt1"/>
              </a:solidFill>
              <a:effectLst/>
              <a:latin typeface="Consolas" panose="020B0609020204030204" pitchFamily="49" charset="0"/>
              <a:ea typeface="+mn-ea"/>
              <a:cs typeface="+mn-cs"/>
            </a:rPr>
            <a:t>8. Are self-employed applicants more risky?</a:t>
          </a:r>
          <a:endParaRPr lang="en-US" sz="1000">
            <a:effectLst/>
            <a:latin typeface="Consolas" panose="020B0609020204030204" pitchFamily="49" charset="0"/>
          </a:endParaRPr>
        </a:p>
        <a:p>
          <a:r>
            <a:rPr lang="en-US" sz="1000" b="1" baseline="0">
              <a:solidFill>
                <a:schemeClr val="lt1"/>
              </a:solidFill>
              <a:effectLst/>
              <a:latin typeface="Consolas" panose="020B0609020204030204" pitchFamily="49" charset="0"/>
              <a:ea typeface="+mn-ea"/>
              <a:cs typeface="+mn-cs"/>
            </a:rPr>
            <a:t>Expected Insight: </a:t>
          </a:r>
          <a:r>
            <a:rPr lang="en-US" sz="1000" b="0" baseline="0">
              <a:solidFill>
                <a:schemeClr val="lt1"/>
              </a:solidFill>
              <a:effectLst/>
              <a:latin typeface="Consolas" panose="020B0609020204030204" pitchFamily="49" charset="0"/>
              <a:ea typeface="+mn-ea"/>
              <a:cs typeface="+mn-cs"/>
            </a:rPr>
            <a:t>Banks may perceive self-employed applicants as higher risk. </a:t>
          </a:r>
          <a:r>
            <a:rPr lang="en-US" sz="1000" b="1" baseline="0">
              <a:solidFill>
                <a:schemeClr val="lt1"/>
              </a:solidFill>
              <a:effectLst/>
              <a:latin typeface="Consolas" panose="020B0609020204030204" pitchFamily="49" charset="0"/>
              <a:ea typeface="+mn-ea"/>
              <a:cs typeface="+mn-cs"/>
            </a:rPr>
            <a:t>TASK'S</a:t>
          </a:r>
          <a:r>
            <a:rPr lang="en-US" sz="1000" b="0" baseline="0">
              <a:solidFill>
                <a:schemeClr val="lt1"/>
              </a:solidFill>
              <a:effectLst/>
              <a:latin typeface="Consolas" panose="020B0609020204030204" pitchFamily="49" charset="0"/>
              <a:ea typeface="+mn-ea"/>
              <a:cs typeface="+mn-cs"/>
            </a:rPr>
            <a:t> </a:t>
          </a:r>
          <a:r>
            <a:rPr lang="en-US" sz="1000" b="1" baseline="0">
              <a:solidFill>
                <a:schemeClr val="lt1"/>
              </a:solidFill>
              <a:effectLst/>
              <a:latin typeface="Consolas" panose="020B0609020204030204" pitchFamily="49" charset="0"/>
              <a:ea typeface="+mn-ea"/>
              <a:cs typeface="+mn-cs"/>
            </a:rPr>
            <a:t>CHECK: </a:t>
          </a:r>
          <a:r>
            <a:rPr lang="en-US" sz="1000" b="0" baseline="0">
              <a:solidFill>
                <a:schemeClr val="lt1"/>
              </a:solidFill>
              <a:effectLst/>
              <a:latin typeface="Consolas" panose="020B0609020204030204" pitchFamily="49" charset="0"/>
              <a:ea typeface="+mn-ea"/>
              <a:cs typeface="+mn-cs"/>
            </a:rPr>
            <a:t>Self-Employed/Loan Approval.</a:t>
          </a:r>
          <a:endParaRPr lang="en-US" sz="1000">
            <a:effectLst/>
            <a:latin typeface="Consolas" panose="020B0609020204030204" pitchFamily="49" charset="0"/>
          </a:endParaRPr>
        </a:p>
        <a:p>
          <a:r>
            <a:rPr lang="en-US" sz="1000" b="0" baseline="0">
              <a:solidFill>
                <a:schemeClr val="lt1"/>
              </a:solidFill>
              <a:effectLst/>
              <a:latin typeface="Consolas" panose="020B0609020204030204" pitchFamily="49" charset="0"/>
              <a:ea typeface="+mn-ea"/>
              <a:cs typeface="+mn-cs"/>
            </a:rPr>
            <a:t>9. What is the total applicant income?</a:t>
          </a:r>
          <a:endParaRPr lang="en-US" sz="1000">
            <a:effectLst/>
            <a:latin typeface="Consolas" panose="020B0609020204030204" pitchFamily="49" charset="0"/>
          </a:endParaRPr>
        </a:p>
        <a:p>
          <a:r>
            <a:rPr lang="en-US" sz="1000" b="1" baseline="0">
              <a:solidFill>
                <a:schemeClr val="lt1"/>
              </a:solidFill>
              <a:effectLst/>
              <a:latin typeface="Consolas" panose="020B0609020204030204" pitchFamily="49" charset="0"/>
              <a:ea typeface="+mn-ea"/>
              <a:cs typeface="+mn-cs"/>
            </a:rPr>
            <a:t>Expected Insight: </a:t>
          </a:r>
          <a:r>
            <a:rPr lang="en-US" sz="1000" b="0" baseline="0">
              <a:solidFill>
                <a:schemeClr val="lt1"/>
              </a:solidFill>
              <a:effectLst/>
              <a:latin typeface="Consolas" panose="020B0609020204030204" pitchFamily="49" charset="0"/>
              <a:ea typeface="+mn-ea"/>
              <a:cs typeface="+mn-cs"/>
            </a:rPr>
            <a:t>Shows loan affordability pattern.</a:t>
          </a:r>
          <a:r>
            <a:rPr lang="en-US" sz="1000" b="1" baseline="0">
              <a:solidFill>
                <a:schemeClr val="lt1"/>
              </a:solidFill>
              <a:effectLst/>
              <a:latin typeface="Consolas" panose="020B0609020204030204" pitchFamily="49" charset="0"/>
              <a:ea typeface="+mn-ea"/>
              <a:cs typeface="+mn-cs"/>
            </a:rPr>
            <a:t>TASK'S CHECK: </a:t>
          </a:r>
          <a:r>
            <a:rPr lang="en-US" sz="1000" b="0" baseline="0">
              <a:solidFill>
                <a:schemeClr val="lt1"/>
              </a:solidFill>
              <a:effectLst/>
              <a:latin typeface="Consolas" panose="020B0609020204030204" pitchFamily="49" charset="0"/>
              <a:ea typeface="+mn-ea"/>
              <a:cs typeface="+mn-cs"/>
            </a:rPr>
            <a:t>Total Income/Loan Approval.</a:t>
          </a:r>
          <a:endParaRPr lang="en-US" sz="1000">
            <a:effectLst/>
            <a:latin typeface="Consolas" panose="020B0609020204030204" pitchFamily="49" charset="0"/>
          </a:endParaRPr>
        </a:p>
        <a:p>
          <a:r>
            <a:rPr lang="en-US" sz="1000" b="0" baseline="0">
              <a:solidFill>
                <a:schemeClr val="lt1"/>
              </a:solidFill>
              <a:effectLst/>
              <a:latin typeface="Consolas" panose="020B0609020204030204" pitchFamily="49" charset="0"/>
              <a:ea typeface="+mn-ea"/>
              <a:cs typeface="+mn-cs"/>
            </a:rPr>
            <a:t>10. what loan ranges are most requested?</a:t>
          </a:r>
          <a:endParaRPr lang="en-US" sz="1000">
            <a:effectLst/>
            <a:latin typeface="Consolas" panose="020B0609020204030204" pitchFamily="49" charset="0"/>
          </a:endParaRPr>
        </a:p>
        <a:p>
          <a:r>
            <a:rPr lang="en-US" sz="1000" b="1" baseline="0">
              <a:solidFill>
                <a:schemeClr val="lt1"/>
              </a:solidFill>
              <a:effectLst/>
              <a:latin typeface="Consolas" panose="020B0609020204030204" pitchFamily="49" charset="0"/>
              <a:ea typeface="+mn-ea"/>
              <a:cs typeface="+mn-cs"/>
            </a:rPr>
            <a:t>Expected Insight:</a:t>
          </a:r>
          <a:r>
            <a:rPr lang="en-US" sz="1000" b="0" baseline="0">
              <a:solidFill>
                <a:schemeClr val="lt1"/>
              </a:solidFill>
              <a:effectLst/>
              <a:latin typeface="Consolas" panose="020B0609020204030204" pitchFamily="49" charset="0"/>
              <a:ea typeface="+mn-ea"/>
              <a:cs typeface="+mn-cs"/>
            </a:rPr>
            <a:t> Helps banks understand typical leanding range.</a:t>
          </a:r>
          <a:endParaRPr lang="en-US" sz="1000">
            <a:effectLst/>
            <a:latin typeface="Consolas" panose="020B0609020204030204" pitchFamily="49" charset="0"/>
          </a:endParaRPr>
        </a:p>
        <a:p>
          <a:r>
            <a:rPr lang="en-US" sz="1000" b="1" baseline="0">
              <a:solidFill>
                <a:schemeClr val="lt1"/>
              </a:solidFill>
              <a:effectLst/>
              <a:latin typeface="Consolas" panose="020B0609020204030204" pitchFamily="49" charset="0"/>
              <a:ea typeface="+mn-ea"/>
              <a:cs typeface="+mn-cs"/>
            </a:rPr>
            <a:t>TASK'S CHECK: </a:t>
          </a:r>
          <a:r>
            <a:rPr lang="en-US" sz="1000" b="0" baseline="0">
              <a:solidFill>
                <a:schemeClr val="lt1"/>
              </a:solidFill>
              <a:effectLst/>
              <a:latin typeface="Consolas" panose="020B0609020204030204" pitchFamily="49" charset="0"/>
              <a:ea typeface="+mn-ea"/>
              <a:cs typeface="+mn-cs"/>
            </a:rPr>
            <a:t>LoanAmount/Count of Loan_id.</a:t>
          </a:r>
          <a:endParaRPr lang="en-US" sz="1000" baseline="0">
            <a:latin typeface="Consolas" panose="020B0609020204030204" pitchFamily="49" charset="0"/>
          </a:endParaRPr>
        </a:p>
        <a:p>
          <a:pPr algn="l"/>
          <a:endParaRPr lang="en-US" sz="1400" baseline="0">
            <a:latin typeface="Consolas" panose="020B0609020204030204" pitchFamily="49" charset="0"/>
          </a:endParaRPr>
        </a:p>
        <a:p>
          <a:pPr algn="l"/>
          <a:endParaRPr lang="en-US" sz="1400" baseline="0">
            <a:latin typeface="Consolas" panose="020B0609020204030204" pitchFamily="49" charset="0"/>
          </a:endParaRPr>
        </a:p>
        <a:p>
          <a:pPr algn="l"/>
          <a:endParaRPr lang="en-US" sz="1400" baseline="0">
            <a:latin typeface="Consolas" panose="020B0609020204030204" pitchFamily="49" charset="0"/>
          </a:endParaRPr>
        </a:p>
        <a:p>
          <a:pPr algn="ctr"/>
          <a:endParaRPr lang="en-US" sz="1400" baseline="0">
            <a:latin typeface="Consolas" panose="020B0609020204030204" pitchFamily="49" charset="0"/>
          </a:endParaRPr>
        </a:p>
        <a:p>
          <a:pPr algn="ctr"/>
          <a:endParaRPr lang="en-US" sz="1400">
            <a:latin typeface="Consolas" panose="020B0609020204030204" pitchFamily="49"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438151</xdr:colOff>
      <xdr:row>0</xdr:row>
      <xdr:rowOff>152399</xdr:rowOff>
    </xdr:from>
    <xdr:to>
      <xdr:col>10</xdr:col>
      <xdr:colOff>504825</xdr:colOff>
      <xdr:row>33</xdr:row>
      <xdr:rowOff>85724</xdr:rowOff>
    </xdr:to>
    <xdr:sp macro="" textlink="">
      <xdr:nvSpPr>
        <xdr:cNvPr id="3" name="Rectangle: Rounded Corners 2">
          <a:extLst>
            <a:ext uri="{FF2B5EF4-FFF2-40B4-BE49-F238E27FC236}">
              <a16:creationId xmlns:a16="http://schemas.microsoft.com/office/drawing/2014/main" id="{822B16A5-8AF4-D057-656B-699049778B09}"/>
            </a:ext>
          </a:extLst>
        </xdr:cNvPr>
        <xdr:cNvSpPr/>
      </xdr:nvSpPr>
      <xdr:spPr>
        <a:xfrm>
          <a:off x="438151" y="152399"/>
          <a:ext cx="6162674" cy="6219825"/>
        </a:xfrm>
        <a:prstGeom prst="roundRect">
          <a:avLst>
            <a:gd name="adj" fmla="val 9248"/>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latin typeface="Consolas" panose="020B0609020204030204" pitchFamily="49" charset="0"/>
            </a:rPr>
            <a:t>In-Analysis Observation</a:t>
          </a:r>
        </a:p>
        <a:p>
          <a:pPr algn="l"/>
          <a:endParaRPr lang="en-US" sz="1400" b="1">
            <a:latin typeface="Consolas" panose="020B0609020204030204" pitchFamily="49" charset="0"/>
          </a:endParaRPr>
        </a:p>
        <a:p>
          <a:pPr algn="l"/>
          <a:r>
            <a:rPr lang="en-US" sz="1400" b="1">
              <a:latin typeface="Consolas" panose="020B0609020204030204" pitchFamily="49" charset="0"/>
            </a:rPr>
            <a:t>1.</a:t>
          </a:r>
          <a:r>
            <a:rPr lang="en-US" sz="1400" b="1" baseline="0">
              <a:latin typeface="Consolas" panose="020B0609020204030204" pitchFamily="49" charset="0"/>
            </a:rPr>
            <a:t> Loan Approval Distribution</a:t>
          </a:r>
        </a:p>
        <a:p>
          <a:r>
            <a:rPr lang="en-US" sz="1000" b="1" baseline="0">
              <a:latin typeface="Consolas" panose="020B0609020204030204" pitchFamily="49" charset="0"/>
            </a:rPr>
            <a:t>-</a:t>
          </a:r>
          <a:r>
            <a:rPr lang="en-US" sz="1000" b="0" baseline="0">
              <a:solidFill>
                <a:schemeClr val="lt1"/>
              </a:solidFill>
              <a:effectLst/>
              <a:latin typeface="Consolas" panose="020B0609020204030204" pitchFamily="49" charset="0"/>
              <a:ea typeface="+mn-ea"/>
              <a:cs typeface="+mn-cs"/>
            </a:rPr>
            <a:t> Rejected loan has the highest number of 188 in count.</a:t>
          </a:r>
          <a:endParaRPr lang="en-US" sz="1000">
            <a:effectLst/>
            <a:latin typeface="Consolas" panose="020B0609020204030204" pitchFamily="49" charset="0"/>
          </a:endParaRPr>
        </a:p>
        <a:p>
          <a:r>
            <a:rPr lang="en-US" sz="1000" b="0" baseline="0">
              <a:solidFill>
                <a:schemeClr val="lt1"/>
              </a:solidFill>
              <a:effectLst/>
              <a:latin typeface="Consolas" panose="020B0609020204030204" pitchFamily="49" charset="0"/>
              <a:ea typeface="+mn-ea"/>
              <a:cs typeface="+mn-cs"/>
            </a:rPr>
            <a:t>- Approved loan has low number of 179 of count.</a:t>
          </a:r>
        </a:p>
        <a:p>
          <a:endParaRPr lang="en-US" sz="1000" b="0" baseline="0">
            <a:solidFill>
              <a:schemeClr val="lt1"/>
            </a:solidFill>
            <a:effectLst/>
            <a:latin typeface="Consolas" panose="020B0609020204030204" pitchFamily="49" charset="0"/>
            <a:ea typeface="+mn-ea"/>
            <a:cs typeface="+mn-cs"/>
          </a:endParaRPr>
        </a:p>
        <a:p>
          <a:r>
            <a:rPr lang="en-US" sz="1400" b="1" baseline="0">
              <a:solidFill>
                <a:schemeClr val="lt1"/>
              </a:solidFill>
              <a:effectLst/>
              <a:latin typeface="Consolas" panose="020B0609020204030204" pitchFamily="49" charset="0"/>
              <a:ea typeface="+mn-ea"/>
              <a:cs typeface="+mn-cs"/>
            </a:rPr>
            <a:t>2. Education Impact on Loan Approval</a:t>
          </a:r>
        </a:p>
        <a:p>
          <a:r>
            <a:rPr lang="en-US" sz="1000" b="0" baseline="0">
              <a:solidFill>
                <a:schemeClr val="lt1"/>
              </a:solidFill>
              <a:effectLst/>
              <a:latin typeface="Consolas" panose="020B0609020204030204" pitchFamily="49" charset="0"/>
              <a:ea typeface="+mn-ea"/>
              <a:cs typeface="+mn-cs"/>
            </a:rPr>
            <a:t>- Graduate has 80.45% of loan approval.</a:t>
          </a:r>
        </a:p>
        <a:p>
          <a:r>
            <a:rPr lang="en-US" sz="1000" b="0" baseline="0">
              <a:solidFill>
                <a:schemeClr val="lt1"/>
              </a:solidFill>
              <a:effectLst/>
              <a:latin typeface="Consolas" panose="020B0609020204030204" pitchFamily="49" charset="0"/>
              <a:ea typeface="+mn-ea"/>
              <a:cs typeface="+mn-cs"/>
            </a:rPr>
            <a:t>- Not Graduate has 19.55% of loan approval.</a:t>
          </a:r>
        </a:p>
        <a:p>
          <a:endParaRPr lang="en-US" sz="1000" b="0" baseline="0">
            <a:solidFill>
              <a:schemeClr val="lt1"/>
            </a:solidFill>
            <a:effectLst/>
            <a:latin typeface="Consolas" panose="020B0609020204030204" pitchFamily="49" charset="0"/>
            <a:ea typeface="+mn-ea"/>
            <a:cs typeface="+mn-cs"/>
          </a:endParaRPr>
        </a:p>
        <a:p>
          <a:r>
            <a:rPr lang="en-US" sz="1400" b="1" baseline="0">
              <a:solidFill>
                <a:schemeClr val="lt1"/>
              </a:solidFill>
              <a:effectLst/>
              <a:latin typeface="Consolas" panose="020B0609020204030204" pitchFamily="49" charset="0"/>
              <a:ea typeface="+mn-ea"/>
              <a:cs typeface="+mn-cs"/>
            </a:rPr>
            <a:t>3. Self Employed vs Loan Approval</a:t>
          </a:r>
        </a:p>
        <a:p>
          <a:r>
            <a:rPr lang="en-US" sz="1000" b="0" baseline="0">
              <a:solidFill>
                <a:schemeClr val="lt1"/>
              </a:solidFill>
              <a:effectLst/>
              <a:latin typeface="Consolas" panose="020B0609020204030204" pitchFamily="49" charset="0"/>
              <a:ea typeface="+mn-ea"/>
              <a:cs typeface="+mn-cs"/>
            </a:rPr>
            <a:t>- Not self-employed: 307 applicants</a:t>
          </a:r>
        </a:p>
        <a:p>
          <a:r>
            <a:rPr lang="en-US" sz="1000" b="0" baseline="0">
              <a:solidFill>
                <a:schemeClr val="lt1"/>
              </a:solidFill>
              <a:effectLst/>
              <a:latin typeface="Consolas" panose="020B0609020204030204" pitchFamily="49" charset="0"/>
              <a:ea typeface="+mn-ea"/>
              <a:cs typeface="+mn-cs"/>
            </a:rPr>
            <a:t>- Self-emloyed: 37 applicants</a:t>
          </a:r>
        </a:p>
        <a:p>
          <a:r>
            <a:rPr lang="en-US" sz="1000" b="0" baseline="0">
              <a:solidFill>
                <a:schemeClr val="lt1"/>
              </a:solidFill>
              <a:effectLst/>
              <a:latin typeface="Consolas" panose="020B0609020204030204" pitchFamily="49" charset="0"/>
              <a:ea typeface="+mn-ea"/>
              <a:cs typeface="+mn-cs"/>
            </a:rPr>
            <a:t>- Blank: 23 applicants</a:t>
          </a:r>
        </a:p>
        <a:p>
          <a:endParaRPr lang="en-US" sz="1400" b="1" baseline="0">
            <a:solidFill>
              <a:schemeClr val="lt1"/>
            </a:solidFill>
            <a:effectLst/>
            <a:latin typeface="Consolas" panose="020B0609020204030204" pitchFamily="49" charset="0"/>
            <a:ea typeface="+mn-ea"/>
            <a:cs typeface="+mn-cs"/>
          </a:endParaRPr>
        </a:p>
        <a:p>
          <a:r>
            <a:rPr lang="en-US" sz="1400" b="1" baseline="0">
              <a:solidFill>
                <a:schemeClr val="lt1"/>
              </a:solidFill>
              <a:effectLst/>
              <a:latin typeface="Consolas" panose="020B0609020204030204" pitchFamily="49" charset="0"/>
              <a:ea typeface="+mn-ea"/>
              <a:cs typeface="+mn-cs"/>
            </a:rPr>
            <a:t>4. Applicant Income Analysis</a:t>
          </a:r>
        </a:p>
        <a:p>
          <a:r>
            <a:rPr lang="en-US" sz="1000" b="0" baseline="0">
              <a:solidFill>
                <a:schemeClr val="lt1"/>
              </a:solidFill>
              <a:effectLst/>
              <a:latin typeface="Consolas" panose="020B0609020204030204" pitchFamily="49" charset="0"/>
              <a:ea typeface="+mn-ea"/>
              <a:cs typeface="+mn-cs"/>
            </a:rPr>
            <a:t>- The majority of loan requests falls within the lowest loan amount range (0-9,999), this suggests that most applicants are requesting smaller loan amount.</a:t>
          </a:r>
        </a:p>
        <a:p>
          <a:endParaRPr lang="en-US" sz="1000" b="0" baseline="0">
            <a:solidFill>
              <a:schemeClr val="lt1"/>
            </a:solidFill>
            <a:effectLst/>
            <a:latin typeface="Consolas" panose="020B0609020204030204" pitchFamily="49" charset="0"/>
            <a:ea typeface="+mn-ea"/>
            <a:cs typeface="+mn-cs"/>
          </a:endParaRPr>
        </a:p>
        <a:p>
          <a:r>
            <a:rPr lang="en-US" sz="1400" b="1" baseline="0">
              <a:solidFill>
                <a:schemeClr val="lt1"/>
              </a:solidFill>
              <a:effectLst/>
              <a:latin typeface="Consolas" panose="020B0609020204030204" pitchFamily="49" charset="0"/>
              <a:ea typeface="+mn-ea"/>
              <a:cs typeface="+mn-cs"/>
            </a:rPr>
            <a:t>5. Credit History Impact on Loan Approval</a:t>
          </a:r>
        </a:p>
        <a:p>
          <a:r>
            <a:rPr lang="en-US" sz="1000" b="0" baseline="0">
              <a:solidFill>
                <a:schemeClr val="lt1"/>
              </a:solidFill>
              <a:effectLst/>
              <a:latin typeface="Consolas" panose="020B0609020204030204" pitchFamily="49" charset="0"/>
              <a:ea typeface="+mn-ea"/>
              <a:cs typeface="+mn-cs"/>
            </a:rPr>
            <a:t>- Applicants with credit history score of 1 account for the largest share of approved loan.</a:t>
          </a:r>
        </a:p>
        <a:p>
          <a:r>
            <a:rPr lang="en-US" sz="1000" b="0" baseline="0">
              <a:solidFill>
                <a:schemeClr val="lt1"/>
              </a:solidFill>
              <a:effectLst/>
              <a:latin typeface="Consolas" panose="020B0609020204030204" pitchFamily="49" charset="0"/>
              <a:ea typeface="+mn-ea"/>
              <a:cs typeface="+mn-cs"/>
            </a:rPr>
            <a:t>- Applicants with credit history = 0 hane 59 rejections of no approval.</a:t>
          </a:r>
        </a:p>
        <a:p>
          <a:endParaRPr lang="en-US" sz="1000" b="0" baseline="0">
            <a:solidFill>
              <a:schemeClr val="lt1"/>
            </a:solidFill>
            <a:effectLst/>
            <a:latin typeface="Consolas" panose="020B0609020204030204" pitchFamily="49" charset="0"/>
            <a:ea typeface="+mn-ea"/>
            <a:cs typeface="+mn-cs"/>
          </a:endParaRPr>
        </a:p>
        <a:p>
          <a:r>
            <a:rPr lang="en-US" sz="1000" b="0" baseline="0">
              <a:solidFill>
                <a:schemeClr val="lt1"/>
              </a:solidFill>
              <a:effectLst/>
              <a:latin typeface="Consolas" panose="020B0609020204030204" pitchFamily="49" charset="0"/>
              <a:ea typeface="+mn-ea"/>
              <a:cs typeface="+mn-cs"/>
            </a:rPr>
            <a:t>6. </a:t>
          </a:r>
        </a:p>
        <a:p>
          <a:endParaRPr lang="en-US" sz="1000" b="0" baseline="0">
            <a:solidFill>
              <a:schemeClr val="lt1"/>
            </a:solidFill>
            <a:effectLst/>
            <a:latin typeface="Consolas" panose="020B0609020204030204" pitchFamily="49" charset="0"/>
            <a:ea typeface="+mn-ea"/>
            <a:cs typeface="+mn-cs"/>
          </a:endParaRPr>
        </a:p>
        <a:p>
          <a:endParaRPr lang="en-US" sz="1000" b="0" baseline="0">
            <a:solidFill>
              <a:schemeClr val="lt1"/>
            </a:solidFill>
            <a:effectLst/>
            <a:latin typeface="Consolas" panose="020B0609020204030204" pitchFamily="49" charset="0"/>
            <a:ea typeface="+mn-ea"/>
            <a:cs typeface="+mn-cs"/>
          </a:endParaRPr>
        </a:p>
        <a:p>
          <a:endParaRPr lang="en-US" sz="1000" b="0" baseline="0">
            <a:solidFill>
              <a:schemeClr val="lt1"/>
            </a:solidFill>
            <a:effectLst/>
            <a:latin typeface="Consolas" panose="020B0609020204030204" pitchFamily="49" charset="0"/>
            <a:ea typeface="+mn-ea"/>
            <a:cs typeface="+mn-cs"/>
          </a:endParaRPr>
        </a:p>
        <a:p>
          <a:endParaRPr lang="en-US" sz="1000" b="0" baseline="0">
            <a:solidFill>
              <a:schemeClr val="lt1"/>
            </a:solidFill>
            <a:effectLst/>
            <a:latin typeface="Consolas" panose="020B0609020204030204" pitchFamily="49" charset="0"/>
            <a:ea typeface="+mn-ea"/>
            <a:cs typeface="+mn-cs"/>
          </a:endParaRPr>
        </a:p>
        <a:p>
          <a:endParaRPr lang="en-US" sz="1000" b="0" baseline="0">
            <a:solidFill>
              <a:schemeClr val="lt1"/>
            </a:solidFill>
            <a:effectLst/>
            <a:latin typeface="Consolas" panose="020B0609020204030204" pitchFamily="49" charset="0"/>
            <a:ea typeface="+mn-ea"/>
            <a:cs typeface="+mn-cs"/>
          </a:endParaRPr>
        </a:p>
        <a:p>
          <a:endParaRPr lang="en-US" sz="1000" b="0">
            <a:latin typeface="Consolas" panose="020B0609020204030204" pitchFamily="49" charset="0"/>
          </a:endParaRPr>
        </a:p>
      </xdr:txBody>
    </xdr:sp>
    <xdr:clientData/>
  </xdr:twoCellAnchor>
  <xdr:twoCellAnchor>
    <xdr:from>
      <xdr:col>11</xdr:col>
      <xdr:colOff>381000</xdr:colOff>
      <xdr:row>1</xdr:row>
      <xdr:rowOff>0</xdr:rowOff>
    </xdr:from>
    <xdr:to>
      <xdr:col>23</xdr:col>
      <xdr:colOff>247649</xdr:colOff>
      <xdr:row>63</xdr:row>
      <xdr:rowOff>66676</xdr:rowOff>
    </xdr:to>
    <xdr:sp macro="" textlink="">
      <xdr:nvSpPr>
        <xdr:cNvPr id="4" name="Rectangle: Rounded Corners 3">
          <a:extLst>
            <a:ext uri="{FF2B5EF4-FFF2-40B4-BE49-F238E27FC236}">
              <a16:creationId xmlns:a16="http://schemas.microsoft.com/office/drawing/2014/main" id="{E6DF8D73-DA86-B76D-D562-2049E0EA466D}"/>
            </a:ext>
          </a:extLst>
        </xdr:cNvPr>
        <xdr:cNvSpPr/>
      </xdr:nvSpPr>
      <xdr:spPr>
        <a:xfrm>
          <a:off x="7086600" y="190500"/>
          <a:ext cx="7181849" cy="11877676"/>
        </a:xfrm>
        <a:prstGeom prst="roundRect">
          <a:avLst>
            <a:gd name="adj" fmla="val 9248"/>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latin typeface="Consolas" panose="020B0609020204030204" pitchFamily="49" charset="0"/>
            </a:rPr>
            <a:t>In-Analysis Insight</a:t>
          </a:r>
        </a:p>
        <a:p>
          <a:pPr algn="l"/>
          <a:endParaRPr lang="en-US" sz="1400" b="1">
            <a:latin typeface="Consolas" panose="020B0609020204030204" pitchFamily="49" charset="0"/>
          </a:endParaRPr>
        </a:p>
        <a:p>
          <a:pPr algn="l"/>
          <a:r>
            <a:rPr lang="en-US" sz="1400" b="1">
              <a:latin typeface="Consolas" panose="020B0609020204030204" pitchFamily="49" charset="0"/>
            </a:rPr>
            <a:t>1.</a:t>
          </a:r>
          <a:r>
            <a:rPr lang="en-US" sz="1400" b="1" baseline="0">
              <a:latin typeface="Consolas" panose="020B0609020204030204" pitchFamily="49" charset="0"/>
            </a:rPr>
            <a:t> Loan Approval Distribution </a:t>
          </a:r>
        </a:p>
        <a:p>
          <a:pPr algn="l"/>
          <a:r>
            <a:rPr lang="en-US" sz="1200" b="1" baseline="0">
              <a:latin typeface="Consolas" panose="020B0609020204030204" pitchFamily="49" charset="0"/>
            </a:rPr>
            <a:t>Key Insight Derived</a:t>
          </a:r>
        </a:p>
        <a:p>
          <a:pPr algn="l"/>
          <a:r>
            <a:rPr lang="en-US" sz="1000" b="0" baseline="0">
              <a:latin typeface="Consolas" panose="020B0609020204030204" pitchFamily="49" charset="0"/>
            </a:rPr>
            <a:t>The analysis reveals that loan rejections slightly exceed approvals, with 188 rejected applications compared to 179 approved applications, indicating that a significant portion of applicants do not meet the bank’s lending requirements.</a:t>
          </a:r>
        </a:p>
        <a:p>
          <a:pPr algn="l"/>
          <a:r>
            <a:rPr lang="en-US" sz="1200" b="1" baseline="0">
              <a:latin typeface="Consolas" panose="020B0609020204030204" pitchFamily="49" charset="0"/>
            </a:rPr>
            <a:t>Observed Insight</a:t>
          </a:r>
        </a:p>
        <a:p>
          <a:pPr algn="l"/>
          <a:r>
            <a:rPr lang="en-US" sz="1000" b="0" baseline="0">
              <a:latin typeface="Consolas" panose="020B0609020204030204" pitchFamily="49" charset="0"/>
            </a:rPr>
            <a:t>The higher rejection count suggests that many applicants may fall short of key eligibility criteria such as credit history, income stability, or loan affordability, which influences the bank’s approval decisions.</a:t>
          </a:r>
        </a:p>
        <a:p>
          <a:pPr algn="l"/>
          <a:r>
            <a:rPr lang="en-US" sz="1200" b="1" baseline="0">
              <a:latin typeface="Consolas" panose="020B0609020204030204" pitchFamily="49" charset="0"/>
            </a:rPr>
            <a:t>Actionable Recommendation</a:t>
          </a:r>
          <a:r>
            <a:rPr lang="en-US" sz="1000" b="0" baseline="0">
              <a:latin typeface="Consolas" panose="020B0609020204030204" pitchFamily="49" charset="0"/>
            </a:rPr>
            <a:t>	</a:t>
          </a:r>
        </a:p>
        <a:p>
          <a:pPr algn="l"/>
          <a:r>
            <a:rPr lang="en-US" sz="1000" b="0" baseline="0">
              <a:latin typeface="Consolas" panose="020B0609020204030204" pitchFamily="49" charset="0"/>
            </a:rPr>
            <a:t>Strengthen Pre-Screening Processes by implement clearer eligibility checks before formal application submission to reduce unnecessary rejections.</a:t>
          </a:r>
        </a:p>
        <a:p>
          <a:pPr algn="l"/>
          <a:endParaRPr lang="en-US" sz="1000" b="0" baseline="0">
            <a:solidFill>
              <a:schemeClr val="lt1"/>
            </a:solidFill>
            <a:effectLst/>
            <a:latin typeface="Consolas" panose="020B0609020204030204" pitchFamily="49" charset="0"/>
            <a:ea typeface="+mn-ea"/>
            <a:cs typeface="+mn-cs"/>
          </a:endParaRPr>
        </a:p>
        <a:p>
          <a:pPr algn="l"/>
          <a:r>
            <a:rPr lang="en-US" sz="1400" b="1" baseline="0">
              <a:solidFill>
                <a:schemeClr val="lt1"/>
              </a:solidFill>
              <a:effectLst/>
              <a:latin typeface="Consolas" panose="020B0609020204030204" pitchFamily="49" charset="0"/>
              <a:ea typeface="+mn-ea"/>
              <a:cs typeface="+mn-cs"/>
            </a:rPr>
            <a:t>2.Education Impact on Loan Approval</a:t>
          </a:r>
        </a:p>
        <a:p>
          <a:pPr algn="l"/>
          <a:r>
            <a:rPr lang="en-US" sz="1200" b="1" baseline="0">
              <a:solidFill>
                <a:schemeClr val="lt1"/>
              </a:solidFill>
              <a:effectLst/>
              <a:latin typeface="Consolas" panose="020B0609020204030204" pitchFamily="49" charset="0"/>
              <a:ea typeface="+mn-ea"/>
              <a:cs typeface="+mn-cs"/>
            </a:rPr>
            <a:t>Key Insight Derived</a:t>
          </a:r>
        </a:p>
        <a:p>
          <a:pPr algn="l"/>
          <a:r>
            <a:rPr lang="en-US" sz="1000" b="0" baseline="0">
              <a:solidFill>
                <a:schemeClr val="lt1"/>
              </a:solidFill>
              <a:effectLst/>
              <a:latin typeface="Consolas" panose="020B0609020204030204" pitchFamily="49" charset="0"/>
              <a:ea typeface="+mn-ea"/>
              <a:cs typeface="+mn-cs"/>
            </a:rPr>
            <a:t>The analysis shows that graduate applicants account for the majority of loan approvals, representing 80.45%, while non-graduate applicants account for only 19.55% of approved loans.</a:t>
          </a:r>
        </a:p>
        <a:p>
          <a:pPr algn="l"/>
          <a:r>
            <a:rPr lang="en-US" sz="1200" b="1" baseline="0">
              <a:solidFill>
                <a:schemeClr val="lt1"/>
              </a:solidFill>
              <a:effectLst/>
              <a:latin typeface="Consolas" panose="020B0609020204030204" pitchFamily="49" charset="0"/>
              <a:ea typeface="+mn-ea"/>
              <a:cs typeface="+mn-cs"/>
            </a:rPr>
            <a:t>Observed Insight</a:t>
          </a:r>
        </a:p>
        <a:p>
          <a:pPr algn="l"/>
          <a:r>
            <a:rPr lang="en-US" sz="1000" b="0" baseline="0">
              <a:solidFill>
                <a:schemeClr val="lt1"/>
              </a:solidFill>
              <a:effectLst/>
              <a:latin typeface="Consolas" panose="020B0609020204030204" pitchFamily="49" charset="0"/>
              <a:ea typeface="+mn-ea"/>
              <a:cs typeface="+mn-cs"/>
            </a:rPr>
            <a:t>This distribution suggests that applicants with higher educational attainment may demonstrate greater financial stability, higher income potential, or stronger credit profiles, which could positively influence lending decisions.</a:t>
          </a:r>
        </a:p>
        <a:p>
          <a:pPr algn="l"/>
          <a:r>
            <a:rPr lang="en-US" sz="1200" b="1" baseline="0">
              <a:solidFill>
                <a:schemeClr val="lt1"/>
              </a:solidFill>
              <a:effectLst/>
              <a:latin typeface="Consolas" panose="020B0609020204030204" pitchFamily="49" charset="0"/>
              <a:ea typeface="+mn-ea"/>
              <a:cs typeface="+mn-cs"/>
            </a:rPr>
            <a:t>Actionable Recommendation</a:t>
          </a:r>
        </a:p>
        <a:p>
          <a:pPr algn="l"/>
          <a:r>
            <a:rPr lang="en-US" sz="1000" b="0" baseline="0">
              <a:solidFill>
                <a:schemeClr val="lt1"/>
              </a:solidFill>
              <a:effectLst/>
              <a:latin typeface="Consolas" panose="020B0609020204030204" pitchFamily="49" charset="0"/>
              <a:ea typeface="+mn-ea"/>
              <a:cs typeface="+mn-cs"/>
            </a:rPr>
            <a:t>Review Approval Criteria by ensuring that education level does not unintentionally create barriers for otherwise creditworthy non-graduate</a:t>
          </a:r>
          <a:r>
            <a:rPr lang="en-US" sz="1000" b="1" baseline="0">
              <a:solidFill>
                <a:schemeClr val="lt1"/>
              </a:solidFill>
              <a:effectLst/>
              <a:latin typeface="Consolas" panose="020B0609020204030204" pitchFamily="49" charset="0"/>
              <a:ea typeface="+mn-ea"/>
              <a:cs typeface="+mn-cs"/>
            </a:rPr>
            <a:t> applicants.</a:t>
          </a:r>
        </a:p>
        <a:p>
          <a:pPr algn="l"/>
          <a:endParaRPr lang="en-US" sz="1000" b="1" baseline="0">
            <a:solidFill>
              <a:schemeClr val="lt1"/>
            </a:solidFill>
            <a:effectLst/>
            <a:latin typeface="Consolas" panose="020B0609020204030204" pitchFamily="49" charset="0"/>
            <a:ea typeface="+mn-ea"/>
            <a:cs typeface="+mn-cs"/>
          </a:endParaRPr>
        </a:p>
        <a:p>
          <a:pPr algn="l"/>
          <a:r>
            <a:rPr lang="en-US" sz="1400" b="1" baseline="0">
              <a:solidFill>
                <a:schemeClr val="lt1"/>
              </a:solidFill>
              <a:effectLst/>
              <a:latin typeface="Consolas" panose="020B0609020204030204" pitchFamily="49" charset="0"/>
              <a:ea typeface="+mn-ea"/>
              <a:cs typeface="+mn-cs"/>
            </a:rPr>
            <a:t>3. Self-Employment Status and Loan Approval</a:t>
          </a:r>
        </a:p>
        <a:p>
          <a:pPr algn="l"/>
          <a:r>
            <a:rPr lang="en-US" sz="1200" b="1" baseline="0">
              <a:solidFill>
                <a:schemeClr val="lt1"/>
              </a:solidFill>
              <a:effectLst/>
              <a:latin typeface="Consolas" panose="020B0609020204030204" pitchFamily="49" charset="0"/>
              <a:ea typeface="+mn-ea"/>
              <a:cs typeface="+mn-cs"/>
            </a:rPr>
            <a:t>Key Insight Derived</a:t>
          </a:r>
          <a:r>
            <a:rPr lang="en-US" sz="1200" b="0" baseline="0">
              <a:solidFill>
                <a:schemeClr val="lt1"/>
              </a:solidFill>
              <a:effectLst/>
              <a:latin typeface="Consolas" panose="020B0609020204030204" pitchFamily="49" charset="0"/>
              <a:ea typeface="+mn-ea"/>
              <a:cs typeface="+mn-cs"/>
            </a:rPr>
            <a:t> </a:t>
          </a:r>
        </a:p>
        <a:p>
          <a:pPr algn="l"/>
          <a:r>
            <a:rPr lang="en-US" sz="1000" b="0" baseline="0">
              <a:solidFill>
                <a:schemeClr val="lt1"/>
              </a:solidFill>
              <a:effectLst/>
              <a:latin typeface="Consolas" panose="020B0609020204030204" pitchFamily="49" charset="0"/>
              <a:ea typeface="+mn-ea"/>
              <a:cs typeface="+mn-cs"/>
            </a:rPr>
            <a:t>Among the applicants, 307 are not self-employed, 37 are self-employed, and 23 have missing employment data, indicating that the majority of loan applicants are salaried or not self-employed.</a:t>
          </a:r>
        </a:p>
        <a:p>
          <a:pPr algn="l"/>
          <a:r>
            <a:rPr lang="en-US" sz="1200" b="1" baseline="0">
              <a:solidFill>
                <a:schemeClr val="lt1"/>
              </a:solidFill>
              <a:effectLst/>
              <a:latin typeface="Consolas" panose="020B0609020204030204" pitchFamily="49" charset="0"/>
              <a:ea typeface="+mn-ea"/>
              <a:cs typeface="+mn-cs"/>
            </a:rPr>
            <a:t>Observed Insight</a:t>
          </a:r>
        </a:p>
        <a:p>
          <a:pPr algn="l"/>
          <a:r>
            <a:rPr lang="en-US" sz="1000" b="0" baseline="0">
              <a:solidFill>
                <a:schemeClr val="lt1"/>
              </a:solidFill>
              <a:effectLst/>
              <a:latin typeface="Consolas" panose="020B0609020204030204" pitchFamily="49" charset="0"/>
              <a:ea typeface="+mn-ea"/>
              <a:cs typeface="+mn-cs"/>
            </a:rPr>
            <a:t>The data suggests that banks receive significantly fewer applications from self-employed individuals, potentially reflecting perceived higher income variability or repayment risk. Additionally, missing employment information could indicate incomplete applications that may impact approval decisions.</a:t>
          </a:r>
        </a:p>
        <a:p>
          <a:pPr algn="l"/>
          <a:r>
            <a:rPr lang="en-US" sz="1200" b="1" baseline="0">
              <a:solidFill>
                <a:schemeClr val="lt1"/>
              </a:solidFill>
              <a:effectLst/>
              <a:latin typeface="Consolas" panose="020B0609020204030204" pitchFamily="49" charset="0"/>
              <a:ea typeface="+mn-ea"/>
              <a:cs typeface="+mn-cs"/>
            </a:rPr>
            <a:t>Actionable Recommendation</a:t>
          </a:r>
          <a:endParaRPr lang="en-US" sz="1000" b="0" baseline="0">
            <a:solidFill>
              <a:schemeClr val="lt1"/>
            </a:solidFill>
            <a:effectLst/>
            <a:latin typeface="Consolas" panose="020B0609020204030204" pitchFamily="49" charset="0"/>
            <a:ea typeface="+mn-ea"/>
            <a:cs typeface="+mn-cs"/>
          </a:endParaRPr>
        </a:p>
        <a:p>
          <a:pPr algn="l"/>
          <a:r>
            <a:rPr lang="en-US" sz="1000" b="0" baseline="0">
              <a:solidFill>
                <a:schemeClr val="lt1"/>
              </a:solidFill>
              <a:effectLst/>
              <a:latin typeface="Consolas" panose="020B0609020204030204" pitchFamily="49" charset="0"/>
              <a:ea typeface="+mn-ea"/>
              <a:cs typeface="+mn-cs"/>
            </a:rPr>
            <a:t>Targeted Outreach for Self-Employed Applicants by developing loan products or flexible assessment criteria to encourage applications from self-employed borrowers and improve Data Completeness to ensure employment information is fully captured during application to reduce the impact of missing data on decision-making.</a:t>
          </a:r>
        </a:p>
        <a:p>
          <a:pPr algn="l"/>
          <a:endParaRPr lang="en-US" sz="1000" b="0" baseline="0">
            <a:solidFill>
              <a:schemeClr val="lt1"/>
            </a:solidFill>
            <a:effectLst/>
            <a:latin typeface="Consolas" panose="020B0609020204030204" pitchFamily="49" charset="0"/>
            <a:ea typeface="+mn-ea"/>
            <a:cs typeface="+mn-cs"/>
          </a:endParaRPr>
        </a:p>
        <a:p>
          <a:pPr algn="l"/>
          <a:r>
            <a:rPr lang="en-US" sz="1400" b="1" baseline="0">
              <a:solidFill>
                <a:schemeClr val="lt1"/>
              </a:solidFill>
              <a:effectLst/>
              <a:latin typeface="Consolas" panose="020B0609020204030204" pitchFamily="49" charset="0"/>
              <a:ea typeface="+mn-ea"/>
              <a:cs typeface="+mn-cs"/>
            </a:rPr>
            <a:t>4. Applicant Income Analysis </a:t>
          </a:r>
        </a:p>
        <a:p>
          <a:pPr algn="l"/>
          <a:r>
            <a:rPr lang="en-US" sz="1200" b="1" baseline="0">
              <a:solidFill>
                <a:schemeClr val="lt1"/>
              </a:solidFill>
              <a:effectLst/>
              <a:latin typeface="Consolas" panose="020B0609020204030204" pitchFamily="49" charset="0"/>
              <a:ea typeface="+mn-ea"/>
              <a:cs typeface="+mn-cs"/>
            </a:rPr>
            <a:t>Key Insight Derived </a:t>
          </a:r>
        </a:p>
        <a:p>
          <a:pPr algn="l"/>
          <a:r>
            <a:rPr lang="en-US" sz="1000" b="0" baseline="0">
              <a:solidFill>
                <a:schemeClr val="lt1"/>
              </a:solidFill>
              <a:effectLst/>
              <a:latin typeface="Consolas" panose="020B0609020204030204" pitchFamily="49" charset="0"/>
              <a:ea typeface="+mn-ea"/>
              <a:cs typeface="+mn-cs"/>
            </a:rPr>
            <a:t>The analysis indicates that the majority of loan requests fall within the lowest loan amount range (0–9,999), suggesting that most applicants are requesting relatively small loan amounts.</a:t>
          </a:r>
        </a:p>
        <a:p>
          <a:pPr algn="l"/>
          <a:r>
            <a:rPr lang="en-US" sz="1200" b="1" baseline="0">
              <a:solidFill>
                <a:schemeClr val="lt1"/>
              </a:solidFill>
              <a:effectLst/>
              <a:latin typeface="Consolas" panose="020B0609020204030204" pitchFamily="49" charset="0"/>
              <a:ea typeface="+mn-ea"/>
              <a:cs typeface="+mn-cs"/>
            </a:rPr>
            <a:t>Observed Insight</a:t>
          </a:r>
        </a:p>
        <a:p>
          <a:pPr algn="l"/>
          <a:r>
            <a:rPr lang="en-US" sz="1000" b="0" baseline="0">
              <a:solidFill>
                <a:schemeClr val="lt1"/>
              </a:solidFill>
              <a:effectLst/>
              <a:latin typeface="Consolas" panose="020B0609020204030204" pitchFamily="49" charset="0"/>
              <a:ea typeface="+mn-ea"/>
              <a:cs typeface="+mn-cs"/>
            </a:rPr>
            <a:t>This trend may reflect that a large proportion of applicants belong to lower to middle-income segments, where borrowing needs are typically smaller and aligned with limited repayment capacity.</a:t>
          </a:r>
        </a:p>
        <a:p>
          <a:pPr algn="l"/>
          <a:r>
            <a:rPr lang="en-US" sz="1200" b="1" baseline="0">
              <a:solidFill>
                <a:schemeClr val="lt1"/>
              </a:solidFill>
              <a:effectLst/>
              <a:latin typeface="Consolas" panose="020B0609020204030204" pitchFamily="49" charset="0"/>
              <a:ea typeface="+mn-ea"/>
              <a:cs typeface="+mn-cs"/>
            </a:rPr>
            <a:t>Actionable Recommendation</a:t>
          </a:r>
          <a:endParaRPr lang="en-US" sz="1400" b="1" baseline="0">
            <a:solidFill>
              <a:schemeClr val="lt1"/>
            </a:solidFill>
            <a:effectLst/>
            <a:latin typeface="Consolas" panose="020B0609020204030204" pitchFamily="49" charset="0"/>
            <a:ea typeface="+mn-ea"/>
            <a:cs typeface="+mn-cs"/>
          </a:endParaRPr>
        </a:p>
        <a:p>
          <a:pPr algn="l"/>
          <a:r>
            <a:rPr lang="en-US" sz="1000" b="0" baseline="0">
              <a:solidFill>
                <a:schemeClr val="lt1"/>
              </a:solidFill>
              <a:effectLst/>
              <a:latin typeface="Consolas" panose="020B0609020204030204" pitchFamily="49" charset="0"/>
              <a:ea typeface="+mn-ea"/>
              <a:cs typeface="+mn-cs"/>
            </a:rPr>
            <a:t>Design Targeted Loan Products: Introduce loan products tailored for small loan amounts, which appear to represent the highest demand segment.</a:t>
          </a:r>
        </a:p>
        <a:p>
          <a:pPr algn="l"/>
          <a:endParaRPr lang="en-US" sz="1000" b="0" baseline="0">
            <a:solidFill>
              <a:schemeClr val="lt1"/>
            </a:solidFill>
            <a:effectLst/>
            <a:latin typeface="Consolas" panose="020B0609020204030204" pitchFamily="49" charset="0"/>
            <a:ea typeface="+mn-ea"/>
            <a:cs typeface="+mn-cs"/>
          </a:endParaRPr>
        </a:p>
        <a:p>
          <a:pPr algn="l"/>
          <a:r>
            <a:rPr lang="en-US" sz="1400" b="1" baseline="0">
              <a:solidFill>
                <a:schemeClr val="lt1"/>
              </a:solidFill>
              <a:effectLst/>
              <a:latin typeface="Consolas" panose="020B0609020204030204" pitchFamily="49" charset="0"/>
              <a:ea typeface="+mn-ea"/>
              <a:cs typeface="+mn-cs"/>
            </a:rPr>
            <a:t>5. Credit History Impact on Loan Approval </a:t>
          </a:r>
        </a:p>
        <a:p>
          <a:pPr algn="l"/>
          <a:r>
            <a:rPr lang="en-US" sz="1200" b="1" baseline="0">
              <a:solidFill>
                <a:schemeClr val="lt1"/>
              </a:solidFill>
              <a:effectLst/>
              <a:latin typeface="Consolas" panose="020B0609020204030204" pitchFamily="49" charset="0"/>
              <a:ea typeface="+mn-ea"/>
              <a:cs typeface="+mn-cs"/>
            </a:rPr>
            <a:t>Key Insight Derived</a:t>
          </a:r>
        </a:p>
        <a:p>
          <a:pPr algn="l"/>
          <a:r>
            <a:rPr lang="en-US" sz="1000" b="0" baseline="0">
              <a:solidFill>
                <a:schemeClr val="lt1"/>
              </a:solidFill>
              <a:effectLst/>
              <a:latin typeface="Consolas" panose="020B0609020204030204" pitchFamily="49" charset="0"/>
              <a:ea typeface="+mn-ea"/>
              <a:cs typeface="+mn-cs"/>
            </a:rPr>
            <a:t>The analysis shows that applicants with a credit history score of 1 account for the largest share of approved loans, while applicants with a credit history score of 0 recorded 59 rejections, indicating significantly lower approval outcomes.</a:t>
          </a:r>
        </a:p>
        <a:p>
          <a:pPr algn="l"/>
          <a:r>
            <a:rPr lang="en-US" sz="1200" b="1" baseline="0">
              <a:solidFill>
                <a:schemeClr val="lt1"/>
              </a:solidFill>
              <a:effectLst/>
              <a:latin typeface="Consolas" panose="020B0609020204030204" pitchFamily="49" charset="0"/>
              <a:ea typeface="+mn-ea"/>
              <a:cs typeface="+mn-cs"/>
            </a:rPr>
            <a:t>Observed Insight</a:t>
          </a:r>
        </a:p>
        <a:p>
          <a:pPr algn="l"/>
          <a:r>
            <a:rPr lang="en-US" sz="1000" b="0" baseline="0">
              <a:solidFill>
                <a:schemeClr val="lt1"/>
              </a:solidFill>
              <a:effectLst/>
              <a:latin typeface="Consolas" panose="020B0609020204030204" pitchFamily="49" charset="0"/>
              <a:ea typeface="+mn-ea"/>
              <a:cs typeface="+mn-cs"/>
            </a:rPr>
            <a:t>This pattern highlights credit history as a critical determinant of loan approval, suggesting that applicants with positive credit records are far more likely to receive loan approvals compared to those with poor or no credit history.</a:t>
          </a:r>
        </a:p>
        <a:p>
          <a:pPr algn="l"/>
          <a:r>
            <a:rPr lang="en-US" sz="1200" b="1" baseline="0">
              <a:solidFill>
                <a:schemeClr val="lt1"/>
              </a:solidFill>
              <a:effectLst/>
              <a:latin typeface="Consolas" panose="020B0609020204030204" pitchFamily="49" charset="0"/>
              <a:ea typeface="+mn-ea"/>
              <a:cs typeface="+mn-cs"/>
            </a:rPr>
            <a:t>Actionable Recommendation</a:t>
          </a:r>
        </a:p>
        <a:p>
          <a:pPr algn="l"/>
          <a:r>
            <a:rPr lang="en-US" sz="1200" b="0" baseline="0">
              <a:solidFill>
                <a:schemeClr val="lt1"/>
              </a:solidFill>
              <a:effectLst/>
              <a:latin typeface="Consolas" panose="020B0609020204030204" pitchFamily="49" charset="0"/>
              <a:ea typeface="+mn-ea"/>
              <a:cs typeface="+mn-cs"/>
            </a:rPr>
            <a:t>Strengthen Credit-Based Screening: Continue prioritizing credit history as a key factor in the loan evaluation process to maintain portfolio quality.</a:t>
          </a:r>
        </a:p>
        <a:p>
          <a:endParaRPr lang="en-US" sz="1000" b="0" baseline="0">
            <a:solidFill>
              <a:schemeClr val="lt1"/>
            </a:solidFill>
            <a:effectLst/>
            <a:latin typeface="Consolas" panose="020B0609020204030204" pitchFamily="49" charset="0"/>
            <a:ea typeface="+mn-ea"/>
            <a:cs typeface="+mn-cs"/>
          </a:endParaRPr>
        </a:p>
        <a:p>
          <a:endParaRPr lang="en-US" sz="1000" b="0" baseline="0">
            <a:solidFill>
              <a:schemeClr val="lt1"/>
            </a:solidFill>
            <a:effectLst/>
            <a:latin typeface="Consolas" panose="020B0609020204030204" pitchFamily="49" charset="0"/>
            <a:ea typeface="+mn-ea"/>
            <a:cs typeface="+mn-cs"/>
          </a:endParaRPr>
        </a:p>
        <a:p>
          <a:endParaRPr lang="en-US" sz="1000" b="0" baseline="0">
            <a:solidFill>
              <a:schemeClr val="lt1"/>
            </a:solidFill>
            <a:effectLst/>
            <a:latin typeface="Consolas" panose="020B0609020204030204" pitchFamily="49" charset="0"/>
            <a:ea typeface="+mn-ea"/>
            <a:cs typeface="+mn-cs"/>
          </a:endParaRPr>
        </a:p>
        <a:p>
          <a:endParaRPr lang="en-US" sz="1000" b="0" baseline="0">
            <a:solidFill>
              <a:schemeClr val="lt1"/>
            </a:solidFill>
            <a:effectLst/>
            <a:latin typeface="Consolas" panose="020B0609020204030204" pitchFamily="49" charset="0"/>
            <a:ea typeface="+mn-ea"/>
            <a:cs typeface="+mn-cs"/>
          </a:endParaRPr>
        </a:p>
        <a:p>
          <a:endParaRPr lang="en-US" sz="1000" b="0">
            <a:latin typeface="Consolas" panose="020B0609020204030204" pitchFamily="49"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66675</xdr:colOff>
      <xdr:row>2</xdr:row>
      <xdr:rowOff>33337</xdr:rowOff>
    </xdr:from>
    <xdr:to>
      <xdr:col>11</xdr:col>
      <xdr:colOff>371475</xdr:colOff>
      <xdr:row>16</xdr:row>
      <xdr:rowOff>109537</xdr:rowOff>
    </xdr:to>
    <xdr:graphicFrame macro="">
      <xdr:nvGraphicFramePr>
        <xdr:cNvPr id="2" name="Chart 1">
          <a:extLst>
            <a:ext uri="{FF2B5EF4-FFF2-40B4-BE49-F238E27FC236}">
              <a16:creationId xmlns:a16="http://schemas.microsoft.com/office/drawing/2014/main" id="{DFFFA2AC-A301-58CC-3C18-7CB1B816C4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390525</xdr:colOff>
      <xdr:row>3</xdr:row>
      <xdr:rowOff>85725</xdr:rowOff>
    </xdr:from>
    <xdr:to>
      <xdr:col>14</xdr:col>
      <xdr:colOff>85725</xdr:colOff>
      <xdr:row>19</xdr:row>
      <xdr:rowOff>14287</xdr:rowOff>
    </xdr:to>
    <xdr:graphicFrame macro="">
      <xdr:nvGraphicFramePr>
        <xdr:cNvPr id="2" name="Chart 1">
          <a:extLst>
            <a:ext uri="{FF2B5EF4-FFF2-40B4-BE49-F238E27FC236}">
              <a16:creationId xmlns:a16="http://schemas.microsoft.com/office/drawing/2014/main" id="{563C027F-ADD3-C074-4322-53EBF595DA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423862</xdr:colOff>
      <xdr:row>2</xdr:row>
      <xdr:rowOff>33337</xdr:rowOff>
    </xdr:from>
    <xdr:to>
      <xdr:col>12</xdr:col>
      <xdr:colOff>119062</xdr:colOff>
      <xdr:row>16</xdr:row>
      <xdr:rowOff>109537</xdr:rowOff>
    </xdr:to>
    <xdr:graphicFrame macro="">
      <xdr:nvGraphicFramePr>
        <xdr:cNvPr id="2" name="Chart 1">
          <a:extLst>
            <a:ext uri="{FF2B5EF4-FFF2-40B4-BE49-F238E27FC236}">
              <a16:creationId xmlns:a16="http://schemas.microsoft.com/office/drawing/2014/main" id="{BE6A3F19-C9C7-489F-BC68-08AF39C1D4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323850</xdr:colOff>
      <xdr:row>11</xdr:row>
      <xdr:rowOff>109537</xdr:rowOff>
    </xdr:from>
    <xdr:to>
      <xdr:col>15</xdr:col>
      <xdr:colOff>19050</xdr:colOff>
      <xdr:row>25</xdr:row>
      <xdr:rowOff>185737</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16F354CB-6636-969E-5A35-374BD80213B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372350" y="22050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6</xdr:col>
      <xdr:colOff>190500</xdr:colOff>
      <xdr:row>6</xdr:row>
      <xdr:rowOff>128587</xdr:rowOff>
    </xdr:from>
    <xdr:to>
      <xdr:col>13</xdr:col>
      <xdr:colOff>495300</xdr:colOff>
      <xdr:row>21</xdr:row>
      <xdr:rowOff>14287</xdr:rowOff>
    </xdr:to>
    <xdr:graphicFrame macro="">
      <xdr:nvGraphicFramePr>
        <xdr:cNvPr id="2" name="Chart 1">
          <a:extLst>
            <a:ext uri="{FF2B5EF4-FFF2-40B4-BE49-F238E27FC236}">
              <a16:creationId xmlns:a16="http://schemas.microsoft.com/office/drawing/2014/main" id="{03407231-009C-D9B2-12FC-42CFFB9BCA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476250</xdr:colOff>
      <xdr:row>4</xdr:row>
      <xdr:rowOff>176212</xdr:rowOff>
    </xdr:from>
    <xdr:to>
      <xdr:col>15</xdr:col>
      <xdr:colOff>171450</xdr:colOff>
      <xdr:row>19</xdr:row>
      <xdr:rowOff>61912</xdr:rowOff>
    </xdr:to>
    <xdr:graphicFrame macro="">
      <xdr:nvGraphicFramePr>
        <xdr:cNvPr id="2" name="Chart 1">
          <a:extLst>
            <a:ext uri="{FF2B5EF4-FFF2-40B4-BE49-F238E27FC236}">
              <a16:creationId xmlns:a16="http://schemas.microsoft.com/office/drawing/2014/main" id="{9119E4E2-7D81-213A-5F49-E33B7F65E3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238125</xdr:colOff>
      <xdr:row>1</xdr:row>
      <xdr:rowOff>104775</xdr:rowOff>
    </xdr:from>
    <xdr:to>
      <xdr:col>28</xdr:col>
      <xdr:colOff>552450</xdr:colOff>
      <xdr:row>41</xdr:row>
      <xdr:rowOff>66675</xdr:rowOff>
    </xdr:to>
    <xdr:sp macro="" textlink="">
      <xdr:nvSpPr>
        <xdr:cNvPr id="2" name="Rectangle 1">
          <a:extLst>
            <a:ext uri="{FF2B5EF4-FFF2-40B4-BE49-F238E27FC236}">
              <a16:creationId xmlns:a16="http://schemas.microsoft.com/office/drawing/2014/main" id="{C56582A4-375C-C31E-0187-BDDC4625885A}"/>
            </a:ext>
          </a:extLst>
        </xdr:cNvPr>
        <xdr:cNvSpPr/>
      </xdr:nvSpPr>
      <xdr:spPr>
        <a:xfrm>
          <a:off x="238125" y="295275"/>
          <a:ext cx="17383125" cy="7581900"/>
        </a:xfrm>
        <a:prstGeom prst="rect">
          <a:avLst/>
        </a:prstGeom>
        <a:solidFill>
          <a:srgbClr val="E6EE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457200</xdr:colOff>
      <xdr:row>2</xdr:row>
      <xdr:rowOff>85725</xdr:rowOff>
    </xdr:from>
    <xdr:to>
      <xdr:col>28</xdr:col>
      <xdr:colOff>342900</xdr:colOff>
      <xdr:row>5</xdr:row>
      <xdr:rowOff>180975</xdr:rowOff>
    </xdr:to>
    <xdr:sp macro="" textlink="">
      <xdr:nvSpPr>
        <xdr:cNvPr id="3" name="Rectangle 2">
          <a:extLst>
            <a:ext uri="{FF2B5EF4-FFF2-40B4-BE49-F238E27FC236}">
              <a16:creationId xmlns:a16="http://schemas.microsoft.com/office/drawing/2014/main" id="{CE783762-2244-AC14-BB81-DFC75E791255}"/>
            </a:ext>
          </a:extLst>
        </xdr:cNvPr>
        <xdr:cNvSpPr/>
      </xdr:nvSpPr>
      <xdr:spPr>
        <a:xfrm>
          <a:off x="457200" y="466725"/>
          <a:ext cx="16954500" cy="666750"/>
        </a:xfrm>
        <a:prstGeom prst="rect">
          <a:avLst/>
        </a:prstGeom>
        <a:solidFill>
          <a:srgbClr val="0052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485775</xdr:colOff>
      <xdr:row>6</xdr:row>
      <xdr:rowOff>85724</xdr:rowOff>
    </xdr:from>
    <xdr:to>
      <xdr:col>4</xdr:col>
      <xdr:colOff>266700</xdr:colOff>
      <xdr:row>15</xdr:row>
      <xdr:rowOff>57149</xdr:rowOff>
    </xdr:to>
    <xdr:sp macro="" textlink="">
      <xdr:nvSpPr>
        <xdr:cNvPr id="4" name="Rectangle 3">
          <a:extLst>
            <a:ext uri="{FF2B5EF4-FFF2-40B4-BE49-F238E27FC236}">
              <a16:creationId xmlns:a16="http://schemas.microsoft.com/office/drawing/2014/main" id="{4594B460-3EF2-B5AB-D0E8-79011B618A2E}"/>
            </a:ext>
          </a:extLst>
        </xdr:cNvPr>
        <xdr:cNvSpPr/>
      </xdr:nvSpPr>
      <xdr:spPr>
        <a:xfrm>
          <a:off x="485775" y="1228724"/>
          <a:ext cx="2219325" cy="1685925"/>
        </a:xfrm>
        <a:prstGeom prst="rect">
          <a:avLst/>
        </a:prstGeom>
        <a:solidFill>
          <a:srgbClr val="0052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504825</xdr:colOff>
      <xdr:row>16</xdr:row>
      <xdr:rowOff>9526</xdr:rowOff>
    </xdr:from>
    <xdr:to>
      <xdr:col>4</xdr:col>
      <xdr:colOff>285750</xdr:colOff>
      <xdr:row>40</xdr:row>
      <xdr:rowOff>57150</xdr:rowOff>
    </xdr:to>
    <xdr:sp macro="" textlink="">
      <xdr:nvSpPr>
        <xdr:cNvPr id="9" name="Rectangle 8">
          <a:extLst>
            <a:ext uri="{FF2B5EF4-FFF2-40B4-BE49-F238E27FC236}">
              <a16:creationId xmlns:a16="http://schemas.microsoft.com/office/drawing/2014/main" id="{595B36CC-E572-50D7-90E8-12BB27EFFC2C}"/>
            </a:ext>
          </a:extLst>
        </xdr:cNvPr>
        <xdr:cNvSpPr/>
      </xdr:nvSpPr>
      <xdr:spPr>
        <a:xfrm>
          <a:off x="504825" y="3057526"/>
          <a:ext cx="2219325" cy="4619624"/>
        </a:xfrm>
        <a:prstGeom prst="rect">
          <a:avLst/>
        </a:prstGeom>
        <a:solidFill>
          <a:srgbClr val="0052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523875</xdr:colOff>
      <xdr:row>6</xdr:row>
      <xdr:rowOff>66675</xdr:rowOff>
    </xdr:from>
    <xdr:to>
      <xdr:col>9</xdr:col>
      <xdr:colOff>228600</xdr:colOff>
      <xdr:row>12</xdr:row>
      <xdr:rowOff>38101</xdr:rowOff>
    </xdr:to>
    <xdr:sp macro="" textlink="">
      <xdr:nvSpPr>
        <xdr:cNvPr id="16" name="Rectangle 15">
          <a:extLst>
            <a:ext uri="{FF2B5EF4-FFF2-40B4-BE49-F238E27FC236}">
              <a16:creationId xmlns:a16="http://schemas.microsoft.com/office/drawing/2014/main" id="{54E23C3A-3568-7DDE-F436-59735A349AA1}"/>
            </a:ext>
          </a:extLst>
        </xdr:cNvPr>
        <xdr:cNvSpPr/>
      </xdr:nvSpPr>
      <xdr:spPr>
        <a:xfrm>
          <a:off x="2962275" y="1209675"/>
          <a:ext cx="2752725" cy="1114426"/>
        </a:xfrm>
        <a:prstGeom prst="rect">
          <a:avLst/>
        </a:prstGeom>
        <a:solidFill>
          <a:srgbClr val="0052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514350</xdr:colOff>
      <xdr:row>26</xdr:row>
      <xdr:rowOff>28575</xdr:rowOff>
    </xdr:from>
    <xdr:to>
      <xdr:col>13</xdr:col>
      <xdr:colOff>523875</xdr:colOff>
      <xdr:row>40</xdr:row>
      <xdr:rowOff>95250</xdr:rowOff>
    </xdr:to>
    <xdr:sp macro="" textlink="">
      <xdr:nvSpPr>
        <xdr:cNvPr id="18" name="Rectangle 17">
          <a:extLst>
            <a:ext uri="{FF2B5EF4-FFF2-40B4-BE49-F238E27FC236}">
              <a16:creationId xmlns:a16="http://schemas.microsoft.com/office/drawing/2014/main" id="{A335B52C-DD1D-73CF-E971-D5CEF68B497E}"/>
            </a:ext>
          </a:extLst>
        </xdr:cNvPr>
        <xdr:cNvSpPr/>
      </xdr:nvSpPr>
      <xdr:spPr>
        <a:xfrm>
          <a:off x="2952750" y="4981575"/>
          <a:ext cx="5495925" cy="2733675"/>
        </a:xfrm>
        <a:prstGeom prst="rect">
          <a:avLst/>
        </a:prstGeom>
        <a:solidFill>
          <a:srgbClr val="0052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9525</xdr:colOff>
      <xdr:row>26</xdr:row>
      <xdr:rowOff>9525</xdr:rowOff>
    </xdr:from>
    <xdr:to>
      <xdr:col>22</xdr:col>
      <xdr:colOff>504825</xdr:colOff>
      <xdr:row>40</xdr:row>
      <xdr:rowOff>76200</xdr:rowOff>
    </xdr:to>
    <xdr:sp macro="" textlink="">
      <xdr:nvSpPr>
        <xdr:cNvPr id="19" name="Rectangle 18">
          <a:extLst>
            <a:ext uri="{FF2B5EF4-FFF2-40B4-BE49-F238E27FC236}">
              <a16:creationId xmlns:a16="http://schemas.microsoft.com/office/drawing/2014/main" id="{6E852B5E-7ECD-16BE-F32B-191F1FF3AEAD}"/>
            </a:ext>
          </a:extLst>
        </xdr:cNvPr>
        <xdr:cNvSpPr/>
      </xdr:nvSpPr>
      <xdr:spPr>
        <a:xfrm>
          <a:off x="8543925" y="4962525"/>
          <a:ext cx="5372100" cy="2733675"/>
        </a:xfrm>
        <a:prstGeom prst="rect">
          <a:avLst/>
        </a:prstGeom>
        <a:solidFill>
          <a:srgbClr val="0052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514350</xdr:colOff>
      <xdr:row>12</xdr:row>
      <xdr:rowOff>133351</xdr:rowOff>
    </xdr:from>
    <xdr:to>
      <xdr:col>13</xdr:col>
      <xdr:colOff>552450</xdr:colOff>
      <xdr:row>25</xdr:row>
      <xdr:rowOff>104775</xdr:rowOff>
    </xdr:to>
    <xdr:sp macro="" textlink="">
      <xdr:nvSpPr>
        <xdr:cNvPr id="22" name="Rectangle 21">
          <a:extLst>
            <a:ext uri="{FF2B5EF4-FFF2-40B4-BE49-F238E27FC236}">
              <a16:creationId xmlns:a16="http://schemas.microsoft.com/office/drawing/2014/main" id="{B19A47CB-342B-8105-B6B6-455E8C184F5C}"/>
            </a:ext>
          </a:extLst>
        </xdr:cNvPr>
        <xdr:cNvSpPr/>
      </xdr:nvSpPr>
      <xdr:spPr>
        <a:xfrm>
          <a:off x="2952750" y="2419351"/>
          <a:ext cx="5524500" cy="2447924"/>
        </a:xfrm>
        <a:prstGeom prst="rect">
          <a:avLst/>
        </a:prstGeom>
        <a:solidFill>
          <a:srgbClr val="0052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19050</xdr:colOff>
      <xdr:row>12</xdr:row>
      <xdr:rowOff>161925</xdr:rowOff>
    </xdr:from>
    <xdr:to>
      <xdr:col>22</xdr:col>
      <xdr:colOff>495300</xdr:colOff>
      <xdr:row>25</xdr:row>
      <xdr:rowOff>76200</xdr:rowOff>
    </xdr:to>
    <xdr:sp macro="" textlink="">
      <xdr:nvSpPr>
        <xdr:cNvPr id="23" name="Rectangle 22">
          <a:extLst>
            <a:ext uri="{FF2B5EF4-FFF2-40B4-BE49-F238E27FC236}">
              <a16:creationId xmlns:a16="http://schemas.microsoft.com/office/drawing/2014/main" id="{EBDA0B26-969C-9C18-06C5-DC77B6C15C2C}"/>
            </a:ext>
          </a:extLst>
        </xdr:cNvPr>
        <xdr:cNvSpPr/>
      </xdr:nvSpPr>
      <xdr:spPr>
        <a:xfrm>
          <a:off x="8553450" y="2447925"/>
          <a:ext cx="5353050" cy="2390775"/>
        </a:xfrm>
        <a:prstGeom prst="rect">
          <a:avLst/>
        </a:prstGeom>
        <a:solidFill>
          <a:srgbClr val="0052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581025</xdr:colOff>
      <xdr:row>12</xdr:row>
      <xdr:rowOff>171449</xdr:rowOff>
    </xdr:from>
    <xdr:to>
      <xdr:col>28</xdr:col>
      <xdr:colOff>333375</xdr:colOff>
      <xdr:row>40</xdr:row>
      <xdr:rowOff>66674</xdr:rowOff>
    </xdr:to>
    <xdr:sp macro="" textlink="">
      <xdr:nvSpPr>
        <xdr:cNvPr id="24" name="Rectangle 23">
          <a:extLst>
            <a:ext uri="{FF2B5EF4-FFF2-40B4-BE49-F238E27FC236}">
              <a16:creationId xmlns:a16="http://schemas.microsoft.com/office/drawing/2014/main" id="{D8B4D914-9597-0056-7A14-C568B012BAE4}"/>
            </a:ext>
          </a:extLst>
        </xdr:cNvPr>
        <xdr:cNvSpPr/>
      </xdr:nvSpPr>
      <xdr:spPr>
        <a:xfrm>
          <a:off x="13992225" y="2457449"/>
          <a:ext cx="3409950" cy="5229225"/>
        </a:xfrm>
        <a:prstGeom prst="rect">
          <a:avLst/>
        </a:prstGeom>
        <a:solidFill>
          <a:srgbClr val="0052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400050</xdr:colOff>
      <xdr:row>6</xdr:row>
      <xdr:rowOff>76200</xdr:rowOff>
    </xdr:from>
    <xdr:to>
      <xdr:col>14</xdr:col>
      <xdr:colOff>104775</xdr:colOff>
      <xdr:row>12</xdr:row>
      <xdr:rowOff>47626</xdr:rowOff>
    </xdr:to>
    <xdr:sp macro="" textlink="">
      <xdr:nvSpPr>
        <xdr:cNvPr id="25" name="Rectangle 24">
          <a:extLst>
            <a:ext uri="{FF2B5EF4-FFF2-40B4-BE49-F238E27FC236}">
              <a16:creationId xmlns:a16="http://schemas.microsoft.com/office/drawing/2014/main" id="{F27CBFCD-A245-26F0-CDC5-6E58DA90EFEE}"/>
            </a:ext>
          </a:extLst>
        </xdr:cNvPr>
        <xdr:cNvSpPr/>
      </xdr:nvSpPr>
      <xdr:spPr>
        <a:xfrm>
          <a:off x="5886450" y="1219200"/>
          <a:ext cx="2752725" cy="1114426"/>
        </a:xfrm>
        <a:prstGeom prst="rect">
          <a:avLst/>
        </a:prstGeom>
        <a:solidFill>
          <a:srgbClr val="0052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276225</xdr:colOff>
      <xdr:row>6</xdr:row>
      <xdr:rowOff>85725</xdr:rowOff>
    </xdr:from>
    <xdr:to>
      <xdr:col>18</xdr:col>
      <xdr:colOff>590550</xdr:colOff>
      <xdr:row>12</xdr:row>
      <xdr:rowOff>57151</xdr:rowOff>
    </xdr:to>
    <xdr:sp macro="" textlink="">
      <xdr:nvSpPr>
        <xdr:cNvPr id="26" name="Rectangle 25">
          <a:extLst>
            <a:ext uri="{FF2B5EF4-FFF2-40B4-BE49-F238E27FC236}">
              <a16:creationId xmlns:a16="http://schemas.microsoft.com/office/drawing/2014/main" id="{F1AB6F0F-6CBD-C8A5-6269-ADD1A779B7CF}"/>
            </a:ext>
          </a:extLst>
        </xdr:cNvPr>
        <xdr:cNvSpPr/>
      </xdr:nvSpPr>
      <xdr:spPr>
        <a:xfrm>
          <a:off x="8810625" y="1228725"/>
          <a:ext cx="2752725" cy="1114426"/>
        </a:xfrm>
        <a:prstGeom prst="rect">
          <a:avLst/>
        </a:prstGeom>
        <a:solidFill>
          <a:srgbClr val="0052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152400</xdr:colOff>
      <xdr:row>6</xdr:row>
      <xdr:rowOff>95250</xdr:rowOff>
    </xdr:from>
    <xdr:to>
      <xdr:col>23</xdr:col>
      <xdr:colOff>466725</xdr:colOff>
      <xdr:row>12</xdr:row>
      <xdr:rowOff>66676</xdr:rowOff>
    </xdr:to>
    <xdr:sp macro="" textlink="">
      <xdr:nvSpPr>
        <xdr:cNvPr id="27" name="Rectangle 26">
          <a:extLst>
            <a:ext uri="{FF2B5EF4-FFF2-40B4-BE49-F238E27FC236}">
              <a16:creationId xmlns:a16="http://schemas.microsoft.com/office/drawing/2014/main" id="{06AB4CC4-07F5-1775-C791-AFBE92E8D608}"/>
            </a:ext>
          </a:extLst>
        </xdr:cNvPr>
        <xdr:cNvSpPr/>
      </xdr:nvSpPr>
      <xdr:spPr>
        <a:xfrm>
          <a:off x="11734800" y="1238250"/>
          <a:ext cx="2752725" cy="1114426"/>
        </a:xfrm>
        <a:prstGeom prst="rect">
          <a:avLst/>
        </a:prstGeom>
        <a:solidFill>
          <a:srgbClr val="0052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28575</xdr:colOff>
      <xdr:row>6</xdr:row>
      <xdr:rowOff>104775</xdr:rowOff>
    </xdr:from>
    <xdr:to>
      <xdr:col>28</xdr:col>
      <xdr:colOff>342900</xdr:colOff>
      <xdr:row>12</xdr:row>
      <xdr:rowOff>76201</xdr:rowOff>
    </xdr:to>
    <xdr:sp macro="" textlink="">
      <xdr:nvSpPr>
        <xdr:cNvPr id="28" name="Rectangle 27">
          <a:extLst>
            <a:ext uri="{FF2B5EF4-FFF2-40B4-BE49-F238E27FC236}">
              <a16:creationId xmlns:a16="http://schemas.microsoft.com/office/drawing/2014/main" id="{FFDEBCCF-CA7E-C8D4-D896-68B1EFDF1EB1}"/>
            </a:ext>
          </a:extLst>
        </xdr:cNvPr>
        <xdr:cNvSpPr/>
      </xdr:nvSpPr>
      <xdr:spPr>
        <a:xfrm>
          <a:off x="14658975" y="1247775"/>
          <a:ext cx="2752725" cy="1114426"/>
        </a:xfrm>
        <a:prstGeom prst="rect">
          <a:avLst/>
        </a:prstGeom>
        <a:solidFill>
          <a:srgbClr val="0052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238124</xdr:colOff>
      <xdr:row>1</xdr:row>
      <xdr:rowOff>19050</xdr:rowOff>
    </xdr:from>
    <xdr:to>
      <xdr:col>32</xdr:col>
      <xdr:colOff>392206</xdr:colOff>
      <xdr:row>45</xdr:row>
      <xdr:rowOff>156882</xdr:rowOff>
    </xdr:to>
    <xdr:sp macro="" textlink="">
      <xdr:nvSpPr>
        <xdr:cNvPr id="2" name="Rectangle 1">
          <a:extLst>
            <a:ext uri="{FF2B5EF4-FFF2-40B4-BE49-F238E27FC236}">
              <a16:creationId xmlns:a16="http://schemas.microsoft.com/office/drawing/2014/main" id="{85EBBD32-7A8B-4824-8801-19F9B3745237}"/>
            </a:ext>
          </a:extLst>
        </xdr:cNvPr>
        <xdr:cNvSpPr/>
      </xdr:nvSpPr>
      <xdr:spPr>
        <a:xfrm>
          <a:off x="238124" y="209550"/>
          <a:ext cx="19517847" cy="8519832"/>
        </a:xfrm>
        <a:prstGeom prst="rect">
          <a:avLst/>
        </a:prstGeom>
        <a:solidFill>
          <a:srgbClr val="D6E4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457199</xdr:colOff>
      <xdr:row>1</xdr:row>
      <xdr:rowOff>180975</xdr:rowOff>
    </xdr:from>
    <xdr:to>
      <xdr:col>32</xdr:col>
      <xdr:colOff>179293</xdr:colOff>
      <xdr:row>5</xdr:row>
      <xdr:rowOff>180975</xdr:rowOff>
    </xdr:to>
    <xdr:sp macro="" textlink="">
      <xdr:nvSpPr>
        <xdr:cNvPr id="3" name="Rectangle 2">
          <a:extLst>
            <a:ext uri="{FF2B5EF4-FFF2-40B4-BE49-F238E27FC236}">
              <a16:creationId xmlns:a16="http://schemas.microsoft.com/office/drawing/2014/main" id="{C6A9AEBC-0489-427D-803B-233CAAD4537E}"/>
            </a:ext>
          </a:extLst>
        </xdr:cNvPr>
        <xdr:cNvSpPr/>
      </xdr:nvSpPr>
      <xdr:spPr>
        <a:xfrm>
          <a:off x="457199" y="371475"/>
          <a:ext cx="19085859" cy="762000"/>
        </a:xfrm>
        <a:prstGeom prst="rect">
          <a:avLst/>
        </a:prstGeom>
        <a:solidFill>
          <a:srgbClr val="00398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485775</xdr:colOff>
      <xdr:row>6</xdr:row>
      <xdr:rowOff>85724</xdr:rowOff>
    </xdr:from>
    <xdr:to>
      <xdr:col>4</xdr:col>
      <xdr:colOff>266700</xdr:colOff>
      <xdr:row>15</xdr:row>
      <xdr:rowOff>57149</xdr:rowOff>
    </xdr:to>
    <xdr:sp macro="" textlink="">
      <xdr:nvSpPr>
        <xdr:cNvPr id="4" name="Rectangle 3">
          <a:extLst>
            <a:ext uri="{FF2B5EF4-FFF2-40B4-BE49-F238E27FC236}">
              <a16:creationId xmlns:a16="http://schemas.microsoft.com/office/drawing/2014/main" id="{F43EDBA9-77F8-4E55-8C06-ECA4A799C71C}"/>
            </a:ext>
          </a:extLst>
        </xdr:cNvPr>
        <xdr:cNvSpPr/>
      </xdr:nvSpPr>
      <xdr:spPr>
        <a:xfrm>
          <a:off x="485775" y="1228724"/>
          <a:ext cx="2219325" cy="1685925"/>
        </a:xfrm>
        <a:prstGeom prst="rect">
          <a:avLst/>
        </a:prstGeom>
        <a:solidFill>
          <a:srgbClr val="0042A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504825</xdr:colOff>
      <xdr:row>15</xdr:row>
      <xdr:rowOff>180975</xdr:rowOff>
    </xdr:from>
    <xdr:to>
      <xdr:col>4</xdr:col>
      <xdr:colOff>285750</xdr:colOff>
      <xdr:row>44</xdr:row>
      <xdr:rowOff>179294</xdr:rowOff>
    </xdr:to>
    <xdr:sp macro="" textlink="">
      <xdr:nvSpPr>
        <xdr:cNvPr id="5" name="Rectangle 4">
          <a:extLst>
            <a:ext uri="{FF2B5EF4-FFF2-40B4-BE49-F238E27FC236}">
              <a16:creationId xmlns:a16="http://schemas.microsoft.com/office/drawing/2014/main" id="{D63F0A04-AE9D-4AA5-9FD9-59ABBFB8E335}"/>
            </a:ext>
          </a:extLst>
        </xdr:cNvPr>
        <xdr:cNvSpPr/>
      </xdr:nvSpPr>
      <xdr:spPr>
        <a:xfrm>
          <a:off x="504825" y="3038475"/>
          <a:ext cx="2201396" cy="5522819"/>
        </a:xfrm>
        <a:prstGeom prst="rect">
          <a:avLst/>
        </a:prstGeom>
        <a:solidFill>
          <a:srgbClr val="0042A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552450</xdr:colOff>
      <xdr:row>6</xdr:row>
      <xdr:rowOff>85725</xdr:rowOff>
    </xdr:from>
    <xdr:to>
      <xdr:col>10</xdr:col>
      <xdr:colOff>190500</xdr:colOff>
      <xdr:row>11</xdr:row>
      <xdr:rowOff>180975</xdr:rowOff>
    </xdr:to>
    <xdr:sp macro="" textlink="">
      <xdr:nvSpPr>
        <xdr:cNvPr id="6" name="Rectangle 5">
          <a:extLst>
            <a:ext uri="{FF2B5EF4-FFF2-40B4-BE49-F238E27FC236}">
              <a16:creationId xmlns:a16="http://schemas.microsoft.com/office/drawing/2014/main" id="{1D082473-02E5-449E-9B02-5A3B2984FD35}"/>
            </a:ext>
          </a:extLst>
        </xdr:cNvPr>
        <xdr:cNvSpPr/>
      </xdr:nvSpPr>
      <xdr:spPr>
        <a:xfrm>
          <a:off x="2972921" y="1228725"/>
          <a:ext cx="3268755" cy="1047750"/>
        </a:xfrm>
        <a:prstGeom prst="rect">
          <a:avLst/>
        </a:prstGeom>
        <a:solidFill>
          <a:srgbClr val="0042A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381000</xdr:colOff>
      <xdr:row>12</xdr:row>
      <xdr:rowOff>135592</xdr:rowOff>
    </xdr:from>
    <xdr:to>
      <xdr:col>32</xdr:col>
      <xdr:colOff>190501</xdr:colOff>
      <xdr:row>44</xdr:row>
      <xdr:rowOff>112059</xdr:rowOff>
    </xdr:to>
    <xdr:sp macro="" textlink="">
      <xdr:nvSpPr>
        <xdr:cNvPr id="11" name="Rectangle 10">
          <a:extLst>
            <a:ext uri="{FF2B5EF4-FFF2-40B4-BE49-F238E27FC236}">
              <a16:creationId xmlns:a16="http://schemas.microsoft.com/office/drawing/2014/main" id="{05E075B0-7EEC-4C89-A2B0-A7DE7405FE96}"/>
            </a:ext>
          </a:extLst>
        </xdr:cNvPr>
        <xdr:cNvSpPr/>
      </xdr:nvSpPr>
      <xdr:spPr>
        <a:xfrm>
          <a:off x="14298706" y="2421592"/>
          <a:ext cx="5255560" cy="6072467"/>
        </a:xfrm>
        <a:prstGeom prst="rect">
          <a:avLst/>
        </a:prstGeom>
        <a:solidFill>
          <a:srgbClr val="E6EEFA"/>
        </a:solidFill>
        <a:ln>
          <a:noFill/>
        </a:ln>
        <a:effectLst>
          <a:outerShdw blurRad="50800" dist="38100" dir="2700000" algn="tl" rotWithShape="0">
            <a:srgbClr val="0052CC">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219074</xdr:colOff>
      <xdr:row>1</xdr:row>
      <xdr:rowOff>161925</xdr:rowOff>
    </xdr:from>
    <xdr:to>
      <xdr:col>2</xdr:col>
      <xdr:colOff>438149</xdr:colOff>
      <xdr:row>6</xdr:row>
      <xdr:rowOff>38100</xdr:rowOff>
    </xdr:to>
    <xdr:pic>
      <xdr:nvPicPr>
        <xdr:cNvPr id="17" name="Graphic 16" descr="Bank with solid fill">
          <a:extLst>
            <a:ext uri="{FF2B5EF4-FFF2-40B4-BE49-F238E27FC236}">
              <a16:creationId xmlns:a16="http://schemas.microsoft.com/office/drawing/2014/main" id="{D72CE604-6109-BB4D-BB6F-0D88C5B4BB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74" y="352425"/>
          <a:ext cx="828675" cy="828675"/>
        </a:xfrm>
        <a:prstGeom prst="rect">
          <a:avLst/>
        </a:prstGeom>
      </xdr:spPr>
    </xdr:pic>
    <xdr:clientData/>
  </xdr:twoCellAnchor>
  <xdr:twoCellAnchor>
    <xdr:from>
      <xdr:col>2</xdr:col>
      <xdr:colOff>323849</xdr:colOff>
      <xdr:row>2</xdr:row>
      <xdr:rowOff>76200</xdr:rowOff>
    </xdr:from>
    <xdr:to>
      <xdr:col>22</xdr:col>
      <xdr:colOff>104774</xdr:colOff>
      <xdr:row>5</xdr:row>
      <xdr:rowOff>104775</xdr:rowOff>
    </xdr:to>
    <xdr:sp macro="" textlink="">
      <xdr:nvSpPr>
        <xdr:cNvPr id="18" name="TextBox 17">
          <a:extLst>
            <a:ext uri="{FF2B5EF4-FFF2-40B4-BE49-F238E27FC236}">
              <a16:creationId xmlns:a16="http://schemas.microsoft.com/office/drawing/2014/main" id="{1618344C-844B-78EE-311B-E646A71693D7}"/>
            </a:ext>
          </a:extLst>
        </xdr:cNvPr>
        <xdr:cNvSpPr txBox="1"/>
      </xdr:nvSpPr>
      <xdr:spPr>
        <a:xfrm>
          <a:off x="1543049" y="457200"/>
          <a:ext cx="11972925"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4000">
              <a:solidFill>
                <a:schemeClr val="bg1"/>
              </a:solidFill>
              <a:latin typeface="Consolas" panose="020B0609020204030204" pitchFamily="49" charset="0"/>
            </a:rPr>
            <a:t>FINANCE</a:t>
          </a:r>
          <a:r>
            <a:rPr lang="en-US" sz="4000" baseline="0">
              <a:solidFill>
                <a:schemeClr val="bg1"/>
              </a:solidFill>
              <a:latin typeface="Consolas" panose="020B0609020204030204" pitchFamily="49" charset="0"/>
            </a:rPr>
            <a:t> LOAN APPROVAL PREDICTION DASHBOAD</a:t>
          </a:r>
          <a:endParaRPr lang="en-US" sz="4000">
            <a:solidFill>
              <a:schemeClr val="bg1"/>
            </a:solidFill>
            <a:latin typeface="Consolas" panose="020B0609020204030204" pitchFamily="49" charset="0"/>
          </a:endParaRPr>
        </a:p>
      </xdr:txBody>
    </xdr:sp>
    <xdr:clientData/>
  </xdr:twoCellAnchor>
  <xdr:twoCellAnchor>
    <xdr:from>
      <xdr:col>5</xdr:col>
      <xdr:colOff>76201</xdr:colOff>
      <xdr:row>7</xdr:row>
      <xdr:rowOff>95250</xdr:rowOff>
    </xdr:from>
    <xdr:to>
      <xdr:col>10</xdr:col>
      <xdr:colOff>67236</xdr:colOff>
      <xdr:row>9</xdr:row>
      <xdr:rowOff>95250</xdr:rowOff>
    </xdr:to>
    <xdr:sp macro="" textlink="">
      <xdr:nvSpPr>
        <xdr:cNvPr id="19" name="TextBox 18">
          <a:extLst>
            <a:ext uri="{FF2B5EF4-FFF2-40B4-BE49-F238E27FC236}">
              <a16:creationId xmlns:a16="http://schemas.microsoft.com/office/drawing/2014/main" id="{1E1FD0B0-EA63-DFD7-F877-0864490F5BC0}"/>
            </a:ext>
          </a:extLst>
        </xdr:cNvPr>
        <xdr:cNvSpPr txBox="1"/>
      </xdr:nvSpPr>
      <xdr:spPr>
        <a:xfrm>
          <a:off x="3101789" y="1428750"/>
          <a:ext cx="3016623"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1"/>
              </a:solidFill>
              <a:latin typeface="Consolas" panose="020B0609020204030204" pitchFamily="49" charset="0"/>
            </a:rPr>
            <a:t>Total</a:t>
          </a:r>
          <a:r>
            <a:rPr lang="en-US" sz="2400" baseline="0">
              <a:solidFill>
                <a:schemeClr val="bg1"/>
              </a:solidFill>
              <a:latin typeface="Consolas" panose="020B0609020204030204" pitchFamily="49" charset="0"/>
            </a:rPr>
            <a:t> </a:t>
          </a:r>
          <a:r>
            <a:rPr lang="en-US" sz="2400">
              <a:solidFill>
                <a:schemeClr val="bg1"/>
              </a:solidFill>
              <a:latin typeface="Consolas" panose="020B0609020204030204" pitchFamily="49" charset="0"/>
            </a:rPr>
            <a:t>Applicants</a:t>
          </a:r>
        </a:p>
      </xdr:txBody>
    </xdr:sp>
    <xdr:clientData/>
  </xdr:twoCellAnchor>
  <xdr:twoCellAnchor>
    <xdr:from>
      <xdr:col>6</xdr:col>
      <xdr:colOff>428626</xdr:colOff>
      <xdr:row>9</xdr:row>
      <xdr:rowOff>47625</xdr:rowOff>
    </xdr:from>
    <xdr:to>
      <xdr:col>7</xdr:col>
      <xdr:colOff>542925</xdr:colOff>
      <xdr:row>11</xdr:row>
      <xdr:rowOff>47625</xdr:rowOff>
    </xdr:to>
    <xdr:sp macro="" textlink="">
      <xdr:nvSpPr>
        <xdr:cNvPr id="20" name="TextBox 19">
          <a:extLst>
            <a:ext uri="{FF2B5EF4-FFF2-40B4-BE49-F238E27FC236}">
              <a16:creationId xmlns:a16="http://schemas.microsoft.com/office/drawing/2014/main" id="{40FAA3BD-C463-42C6-4344-DBDF3F5C57CF}"/>
            </a:ext>
          </a:extLst>
        </xdr:cNvPr>
        <xdr:cNvSpPr txBox="1"/>
      </xdr:nvSpPr>
      <xdr:spPr>
        <a:xfrm>
          <a:off x="4086226" y="1762125"/>
          <a:ext cx="723899"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bg1"/>
              </a:solidFill>
              <a:latin typeface="Consolas" panose="020B0609020204030204" pitchFamily="49" charset="0"/>
            </a:rPr>
            <a:t>367</a:t>
          </a:r>
        </a:p>
      </xdr:txBody>
    </xdr:sp>
    <xdr:clientData/>
  </xdr:twoCellAnchor>
  <xdr:twoCellAnchor>
    <xdr:from>
      <xdr:col>24</xdr:col>
      <xdr:colOff>134470</xdr:colOff>
      <xdr:row>16</xdr:row>
      <xdr:rowOff>133350</xdr:rowOff>
    </xdr:from>
    <xdr:to>
      <xdr:col>31</xdr:col>
      <xdr:colOff>369794</xdr:colOff>
      <xdr:row>41</xdr:row>
      <xdr:rowOff>123826</xdr:rowOff>
    </xdr:to>
    <xdr:graphicFrame macro="">
      <xdr:nvGraphicFramePr>
        <xdr:cNvPr id="30" name="Chart 29">
          <a:extLst>
            <a:ext uri="{FF2B5EF4-FFF2-40B4-BE49-F238E27FC236}">
              <a16:creationId xmlns:a16="http://schemas.microsoft.com/office/drawing/2014/main" id="{9AFC0E05-E7E1-44AA-819E-BE5B828E0F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553009</xdr:colOff>
      <xdr:row>12</xdr:row>
      <xdr:rowOff>82362</xdr:rowOff>
    </xdr:from>
    <xdr:to>
      <xdr:col>32</xdr:col>
      <xdr:colOff>112058</xdr:colOff>
      <xdr:row>13</xdr:row>
      <xdr:rowOff>168087</xdr:rowOff>
    </xdr:to>
    <xdr:sp macro="" textlink="">
      <xdr:nvSpPr>
        <xdr:cNvPr id="31" name="TextBox 30">
          <a:extLst>
            <a:ext uri="{FF2B5EF4-FFF2-40B4-BE49-F238E27FC236}">
              <a16:creationId xmlns:a16="http://schemas.microsoft.com/office/drawing/2014/main" id="{F378F3F6-9CF3-D1A1-91D1-E4E0FDCE4BE9}"/>
            </a:ext>
          </a:extLst>
        </xdr:cNvPr>
        <xdr:cNvSpPr txBox="1"/>
      </xdr:nvSpPr>
      <xdr:spPr>
        <a:xfrm>
          <a:off x="14470715" y="2368362"/>
          <a:ext cx="5005108"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baseline="0">
              <a:solidFill>
                <a:srgbClr val="0052CC"/>
              </a:solidFill>
              <a:latin typeface="Consolas" panose="020B0609020204030204" pitchFamily="49" charset="0"/>
            </a:rPr>
            <a:t>Credit History Impact on Loan Approval</a:t>
          </a:r>
        </a:p>
      </xdr:txBody>
    </xdr:sp>
    <xdr:clientData/>
  </xdr:twoCellAnchor>
  <xdr:twoCellAnchor>
    <xdr:from>
      <xdr:col>14</xdr:col>
      <xdr:colOff>89648</xdr:colOff>
      <xdr:row>12</xdr:row>
      <xdr:rowOff>101974</xdr:rowOff>
    </xdr:from>
    <xdr:to>
      <xdr:col>23</xdr:col>
      <xdr:colOff>235323</xdr:colOff>
      <xdr:row>27</xdr:row>
      <xdr:rowOff>11206</xdr:rowOff>
    </xdr:to>
    <mc:AlternateContent xmlns:mc="http://schemas.openxmlformats.org/markup-compatibility/2006">
      <mc:Choice xmlns:cx1="http://schemas.microsoft.com/office/drawing/2015/9/8/chartex" Requires="cx1">
        <xdr:graphicFrame macro="">
          <xdr:nvGraphicFramePr>
            <xdr:cNvPr id="32" name="Chart 31">
              <a:extLst>
                <a:ext uri="{FF2B5EF4-FFF2-40B4-BE49-F238E27FC236}">
                  <a16:creationId xmlns:a16="http://schemas.microsoft.com/office/drawing/2014/main" id="{C403BCB5-30AC-4CC9-80DE-99DA16D78A6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624048" y="2387974"/>
              <a:ext cx="5632075" cy="276673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142874</xdr:colOff>
      <xdr:row>27</xdr:row>
      <xdr:rowOff>145677</xdr:rowOff>
    </xdr:from>
    <xdr:to>
      <xdr:col>23</xdr:col>
      <xdr:colOff>268940</xdr:colOff>
      <xdr:row>44</xdr:row>
      <xdr:rowOff>134471</xdr:rowOff>
    </xdr:to>
    <xdr:graphicFrame macro="">
      <xdr:nvGraphicFramePr>
        <xdr:cNvPr id="33" name="Chart 32">
          <a:extLst>
            <a:ext uri="{FF2B5EF4-FFF2-40B4-BE49-F238E27FC236}">
              <a16:creationId xmlns:a16="http://schemas.microsoft.com/office/drawing/2014/main" id="{D691F489-69DC-4C82-A12B-523211E0C6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544605</xdr:colOff>
      <xdr:row>27</xdr:row>
      <xdr:rowOff>123264</xdr:rowOff>
    </xdr:from>
    <xdr:to>
      <xdr:col>13</xdr:col>
      <xdr:colOff>573180</xdr:colOff>
      <xdr:row>44</xdr:row>
      <xdr:rowOff>134471</xdr:rowOff>
    </xdr:to>
    <xdr:graphicFrame macro="">
      <xdr:nvGraphicFramePr>
        <xdr:cNvPr id="34" name="Chart 33">
          <a:extLst>
            <a:ext uri="{FF2B5EF4-FFF2-40B4-BE49-F238E27FC236}">
              <a16:creationId xmlns:a16="http://schemas.microsoft.com/office/drawing/2014/main" id="{4BE1C9AC-C405-4443-8633-FF25DF497A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533400</xdr:colOff>
      <xdr:row>12</xdr:row>
      <xdr:rowOff>95250</xdr:rowOff>
    </xdr:from>
    <xdr:to>
      <xdr:col>13</xdr:col>
      <xdr:colOff>561975</xdr:colOff>
      <xdr:row>27</xdr:row>
      <xdr:rowOff>22412</xdr:rowOff>
    </xdr:to>
    <xdr:graphicFrame macro="">
      <xdr:nvGraphicFramePr>
        <xdr:cNvPr id="35" name="Chart 34">
          <a:extLst>
            <a:ext uri="{FF2B5EF4-FFF2-40B4-BE49-F238E27FC236}">
              <a16:creationId xmlns:a16="http://schemas.microsoft.com/office/drawing/2014/main" id="{5309C222-630A-4101-B1DD-6E1324A8BC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9524</xdr:colOff>
      <xdr:row>7</xdr:row>
      <xdr:rowOff>57150</xdr:rowOff>
    </xdr:from>
    <xdr:to>
      <xdr:col>4</xdr:col>
      <xdr:colOff>152399</xdr:colOff>
      <xdr:row>14</xdr:row>
      <xdr:rowOff>76200</xdr:rowOff>
    </xdr:to>
    <mc:AlternateContent xmlns:mc="http://schemas.openxmlformats.org/markup-compatibility/2006" xmlns:a14="http://schemas.microsoft.com/office/drawing/2010/main">
      <mc:Choice Requires="a14">
        <xdr:graphicFrame macro="">
          <xdr:nvGraphicFramePr>
            <xdr:cNvPr id="36" name="Gender">
              <a:extLst>
                <a:ext uri="{FF2B5EF4-FFF2-40B4-BE49-F238E27FC236}">
                  <a16:creationId xmlns:a16="http://schemas.microsoft.com/office/drawing/2014/main" id="{A012D469-5C42-306A-0954-27318CD85A6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19124" y="1390650"/>
              <a:ext cx="1971675" cy="1352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9525</xdr:colOff>
      <xdr:row>17</xdr:row>
      <xdr:rowOff>38099</xdr:rowOff>
    </xdr:from>
    <xdr:to>
      <xdr:col>4</xdr:col>
      <xdr:colOff>142875</xdr:colOff>
      <xdr:row>24</xdr:row>
      <xdr:rowOff>100852</xdr:rowOff>
    </xdr:to>
    <mc:AlternateContent xmlns:mc="http://schemas.openxmlformats.org/markup-compatibility/2006" xmlns:a14="http://schemas.microsoft.com/office/drawing/2010/main">
      <mc:Choice Requires="a14">
        <xdr:graphicFrame macro="">
          <xdr:nvGraphicFramePr>
            <xdr:cNvPr id="37" name="Married">
              <a:extLst>
                <a:ext uri="{FF2B5EF4-FFF2-40B4-BE49-F238E27FC236}">
                  <a16:creationId xmlns:a16="http://schemas.microsoft.com/office/drawing/2014/main" id="{92132610-1A34-C735-9F9A-D0B8356FBA48}"/>
                </a:ext>
              </a:extLst>
            </xdr:cNvPr>
            <xdr:cNvGraphicFramePr/>
          </xdr:nvGraphicFramePr>
          <xdr:xfrm>
            <a:off x="0" y="0"/>
            <a:ext cx="0" cy="0"/>
          </xdr:xfrm>
          <a:graphic>
            <a:graphicData uri="http://schemas.microsoft.com/office/drawing/2010/slicer">
              <sle:slicer xmlns:sle="http://schemas.microsoft.com/office/drawing/2010/slicer" name="Married"/>
            </a:graphicData>
          </a:graphic>
        </xdr:graphicFrame>
      </mc:Choice>
      <mc:Fallback xmlns="">
        <xdr:sp macro="" textlink="">
          <xdr:nvSpPr>
            <xdr:cNvPr id="0" name=""/>
            <xdr:cNvSpPr>
              <a:spLocks noTextEdit="1"/>
            </xdr:cNvSpPr>
          </xdr:nvSpPr>
          <xdr:spPr>
            <a:xfrm>
              <a:off x="619125" y="3276600"/>
              <a:ext cx="1962150" cy="1085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6163</xdr:colOff>
      <xdr:row>25</xdr:row>
      <xdr:rowOff>50427</xdr:rowOff>
    </xdr:from>
    <xdr:to>
      <xdr:col>4</xdr:col>
      <xdr:colOff>120463</xdr:colOff>
      <xdr:row>34</xdr:row>
      <xdr:rowOff>112059</xdr:rowOff>
    </xdr:to>
    <mc:AlternateContent xmlns:mc="http://schemas.openxmlformats.org/markup-compatibility/2006" xmlns:a14="http://schemas.microsoft.com/office/drawing/2010/main">
      <mc:Choice Requires="a14">
        <xdr:graphicFrame macro="">
          <xdr:nvGraphicFramePr>
            <xdr:cNvPr id="38" name="Self_Employed">
              <a:extLst>
                <a:ext uri="{FF2B5EF4-FFF2-40B4-BE49-F238E27FC236}">
                  <a16:creationId xmlns:a16="http://schemas.microsoft.com/office/drawing/2014/main" id="{F65BE5E7-983D-46CD-0322-81D7759FB1DE}"/>
                </a:ext>
              </a:extLst>
            </xdr:cNvPr>
            <xdr:cNvGraphicFramePr/>
          </xdr:nvGraphicFramePr>
          <xdr:xfrm>
            <a:off x="0" y="0"/>
            <a:ext cx="0" cy="0"/>
          </xdr:xfrm>
          <a:graphic>
            <a:graphicData uri="http://schemas.microsoft.com/office/drawing/2010/slicer">
              <sle:slicer xmlns:sle="http://schemas.microsoft.com/office/drawing/2010/slicer" name="Self_Employed"/>
            </a:graphicData>
          </a:graphic>
        </xdr:graphicFrame>
      </mc:Choice>
      <mc:Fallback xmlns="">
        <xdr:sp macro="" textlink="">
          <xdr:nvSpPr>
            <xdr:cNvPr id="0" name=""/>
            <xdr:cNvSpPr>
              <a:spLocks noTextEdit="1"/>
            </xdr:cNvSpPr>
          </xdr:nvSpPr>
          <xdr:spPr>
            <a:xfrm>
              <a:off x="611281" y="4812927"/>
              <a:ext cx="1929653" cy="17761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xdr:colOff>
      <xdr:row>35</xdr:row>
      <xdr:rowOff>27454</xdr:rowOff>
    </xdr:from>
    <xdr:to>
      <xdr:col>4</xdr:col>
      <xdr:colOff>123825</xdr:colOff>
      <xdr:row>44</xdr:row>
      <xdr:rowOff>44824</xdr:rowOff>
    </xdr:to>
    <mc:AlternateContent xmlns:mc="http://schemas.openxmlformats.org/markup-compatibility/2006" xmlns:a14="http://schemas.microsoft.com/office/drawing/2010/main">
      <mc:Choice Requires="a14">
        <xdr:graphicFrame macro="">
          <xdr:nvGraphicFramePr>
            <xdr:cNvPr id="39" name="Education">
              <a:extLst>
                <a:ext uri="{FF2B5EF4-FFF2-40B4-BE49-F238E27FC236}">
                  <a16:creationId xmlns:a16="http://schemas.microsoft.com/office/drawing/2014/main" id="{F679246E-D1A8-66CE-C336-17AF848E6DA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605119" y="6694954"/>
              <a:ext cx="1939177" cy="17318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256617</xdr:colOff>
      <xdr:row>6</xdr:row>
      <xdr:rowOff>92449</xdr:rowOff>
    </xdr:from>
    <xdr:to>
      <xdr:col>15</xdr:col>
      <xdr:colOff>499783</xdr:colOff>
      <xdr:row>11</xdr:row>
      <xdr:rowOff>187699</xdr:rowOff>
    </xdr:to>
    <xdr:sp macro="" textlink="">
      <xdr:nvSpPr>
        <xdr:cNvPr id="8" name="Rectangle 7">
          <a:extLst>
            <a:ext uri="{FF2B5EF4-FFF2-40B4-BE49-F238E27FC236}">
              <a16:creationId xmlns:a16="http://schemas.microsoft.com/office/drawing/2014/main" id="{ED17C560-B802-2862-EE28-F7C7E914FCD4}"/>
            </a:ext>
          </a:extLst>
        </xdr:cNvPr>
        <xdr:cNvSpPr/>
      </xdr:nvSpPr>
      <xdr:spPr>
        <a:xfrm>
          <a:off x="6307793" y="1235449"/>
          <a:ext cx="3268755" cy="1047750"/>
        </a:xfrm>
        <a:prstGeom prst="rect">
          <a:avLst/>
        </a:prstGeom>
        <a:solidFill>
          <a:srgbClr val="0042A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52131</xdr:colOff>
      <xdr:row>44</xdr:row>
      <xdr:rowOff>69671</xdr:rowOff>
    </xdr:from>
    <xdr:to>
      <xdr:col>32</xdr:col>
      <xdr:colOff>201705</xdr:colOff>
      <xdr:row>45</xdr:row>
      <xdr:rowOff>152497</xdr:rowOff>
    </xdr:to>
    <xdr:sp macro="" textlink="">
      <xdr:nvSpPr>
        <xdr:cNvPr id="7" name="TextBox 6">
          <a:extLst>
            <a:ext uri="{FF2B5EF4-FFF2-40B4-BE49-F238E27FC236}">
              <a16:creationId xmlns:a16="http://schemas.microsoft.com/office/drawing/2014/main" id="{B030AA46-C63A-4E1D-D3B8-8C37CB23B053}"/>
            </a:ext>
          </a:extLst>
        </xdr:cNvPr>
        <xdr:cNvSpPr txBox="1"/>
      </xdr:nvSpPr>
      <xdr:spPr>
        <a:xfrm>
          <a:off x="17600543" y="8451671"/>
          <a:ext cx="1964927" cy="273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00398F"/>
              </a:solidFill>
              <a:latin typeface="Consolas" panose="020B0609020204030204" pitchFamily="49" charset="0"/>
            </a:rPr>
            <a:t>Analysis By : Kemi. A</a:t>
          </a:r>
          <a:endParaRPr lang="en-US" sz="1200" b="1">
            <a:solidFill>
              <a:srgbClr val="00398F"/>
            </a:solidFill>
            <a:latin typeface="Consolas" panose="020B0609020204030204" pitchFamily="49" charset="0"/>
          </a:endParaRPr>
        </a:p>
      </xdr:txBody>
    </xdr:sp>
    <xdr:clientData/>
  </xdr:twoCellAnchor>
  <xdr:twoCellAnchor>
    <xdr:from>
      <xdr:col>10</xdr:col>
      <xdr:colOff>591110</xdr:colOff>
      <xdr:row>7</xdr:row>
      <xdr:rowOff>77879</xdr:rowOff>
    </xdr:from>
    <xdr:to>
      <xdr:col>15</xdr:col>
      <xdr:colOff>168086</xdr:colOff>
      <xdr:row>9</xdr:row>
      <xdr:rowOff>77879</xdr:rowOff>
    </xdr:to>
    <xdr:sp macro="" textlink="">
      <xdr:nvSpPr>
        <xdr:cNvPr id="21" name="TextBox 20">
          <a:extLst>
            <a:ext uri="{FF2B5EF4-FFF2-40B4-BE49-F238E27FC236}">
              <a16:creationId xmlns:a16="http://schemas.microsoft.com/office/drawing/2014/main" id="{6A9AE0E4-FD0E-485B-F5FC-DABEE96870FB}"/>
            </a:ext>
          </a:extLst>
        </xdr:cNvPr>
        <xdr:cNvSpPr txBox="1"/>
      </xdr:nvSpPr>
      <xdr:spPr>
        <a:xfrm>
          <a:off x="6642286" y="1411379"/>
          <a:ext cx="260256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1"/>
              </a:solidFill>
              <a:latin typeface="Consolas" panose="020B0609020204030204" pitchFamily="49" charset="0"/>
            </a:rPr>
            <a:t>Approved</a:t>
          </a:r>
          <a:r>
            <a:rPr lang="en-US" sz="2400" baseline="0">
              <a:solidFill>
                <a:schemeClr val="bg1"/>
              </a:solidFill>
              <a:latin typeface="Consolas" panose="020B0609020204030204" pitchFamily="49" charset="0"/>
            </a:rPr>
            <a:t> Loans </a:t>
          </a:r>
          <a:r>
            <a:rPr lang="en-US" sz="2000" baseline="0">
              <a:solidFill>
                <a:schemeClr val="bg1"/>
              </a:solidFill>
              <a:latin typeface="Consolas" panose="020B0609020204030204" pitchFamily="49" charset="0"/>
            </a:rPr>
            <a:t>Loans</a:t>
          </a:r>
          <a:endParaRPr lang="en-US" sz="2000">
            <a:solidFill>
              <a:schemeClr val="bg1"/>
            </a:solidFill>
            <a:latin typeface="Consolas" panose="020B0609020204030204" pitchFamily="49" charset="0"/>
          </a:endParaRPr>
        </a:p>
      </xdr:txBody>
    </xdr:sp>
    <xdr:clientData/>
  </xdr:twoCellAnchor>
  <xdr:twoCellAnchor>
    <xdr:from>
      <xdr:col>12</xdr:col>
      <xdr:colOff>461121</xdr:colOff>
      <xdr:row>9</xdr:row>
      <xdr:rowOff>43143</xdr:rowOff>
    </xdr:from>
    <xdr:to>
      <xdr:col>13</xdr:col>
      <xdr:colOff>489696</xdr:colOff>
      <xdr:row>11</xdr:row>
      <xdr:rowOff>43143</xdr:rowOff>
    </xdr:to>
    <xdr:sp macro="" textlink="">
      <xdr:nvSpPr>
        <xdr:cNvPr id="24" name="TextBox 23">
          <a:extLst>
            <a:ext uri="{FF2B5EF4-FFF2-40B4-BE49-F238E27FC236}">
              <a16:creationId xmlns:a16="http://schemas.microsoft.com/office/drawing/2014/main" id="{F7A323F8-C226-2BC5-0AD4-4D5856808BA6}"/>
            </a:ext>
          </a:extLst>
        </xdr:cNvPr>
        <xdr:cNvSpPr txBox="1"/>
      </xdr:nvSpPr>
      <xdr:spPr>
        <a:xfrm>
          <a:off x="7722533" y="1757643"/>
          <a:ext cx="633692"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bg1"/>
              </a:solidFill>
              <a:latin typeface="Consolas" panose="020B0609020204030204" pitchFamily="49" charset="0"/>
            </a:rPr>
            <a:t>179</a:t>
          </a:r>
        </a:p>
      </xdr:txBody>
    </xdr:sp>
    <xdr:clientData/>
  </xdr:twoCellAnchor>
  <xdr:twoCellAnchor>
    <xdr:from>
      <xdr:col>15</xdr:col>
      <xdr:colOff>565898</xdr:colOff>
      <xdr:row>6</xdr:row>
      <xdr:rowOff>87966</xdr:rowOff>
    </xdr:from>
    <xdr:to>
      <xdr:col>21</xdr:col>
      <xdr:colOff>203947</xdr:colOff>
      <xdr:row>11</xdr:row>
      <xdr:rowOff>183216</xdr:rowOff>
    </xdr:to>
    <xdr:sp macro="" textlink="">
      <xdr:nvSpPr>
        <xdr:cNvPr id="9" name="Rectangle 8">
          <a:extLst>
            <a:ext uri="{FF2B5EF4-FFF2-40B4-BE49-F238E27FC236}">
              <a16:creationId xmlns:a16="http://schemas.microsoft.com/office/drawing/2014/main" id="{1170778A-BD32-DAAC-7EB8-B81084FCCE5C}"/>
            </a:ext>
          </a:extLst>
        </xdr:cNvPr>
        <xdr:cNvSpPr/>
      </xdr:nvSpPr>
      <xdr:spPr>
        <a:xfrm>
          <a:off x="9642663" y="1230966"/>
          <a:ext cx="3268755" cy="1047750"/>
        </a:xfrm>
        <a:prstGeom prst="rect">
          <a:avLst/>
        </a:prstGeom>
        <a:solidFill>
          <a:srgbClr val="0042A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198343</xdr:colOff>
      <xdr:row>7</xdr:row>
      <xdr:rowOff>36420</xdr:rowOff>
    </xdr:from>
    <xdr:to>
      <xdr:col>20</xdr:col>
      <xdr:colOff>369794</xdr:colOff>
      <xdr:row>9</xdr:row>
      <xdr:rowOff>36420</xdr:rowOff>
    </xdr:to>
    <xdr:sp macro="" textlink="">
      <xdr:nvSpPr>
        <xdr:cNvPr id="22" name="TextBox 21">
          <a:extLst>
            <a:ext uri="{FF2B5EF4-FFF2-40B4-BE49-F238E27FC236}">
              <a16:creationId xmlns:a16="http://schemas.microsoft.com/office/drawing/2014/main" id="{549709FC-DC7B-9D1B-F071-3350DD6FC008}"/>
            </a:ext>
          </a:extLst>
        </xdr:cNvPr>
        <xdr:cNvSpPr txBox="1"/>
      </xdr:nvSpPr>
      <xdr:spPr>
        <a:xfrm>
          <a:off x="9880225" y="1369920"/>
          <a:ext cx="2591922"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aseline="0">
              <a:solidFill>
                <a:schemeClr val="bg1"/>
              </a:solidFill>
              <a:latin typeface="Consolas" panose="020B0609020204030204" pitchFamily="49" charset="0"/>
            </a:rPr>
            <a:t>Rejected Loans</a:t>
          </a:r>
          <a:endParaRPr lang="en-US" sz="2400">
            <a:solidFill>
              <a:schemeClr val="bg1"/>
            </a:solidFill>
            <a:latin typeface="Consolas" panose="020B0609020204030204" pitchFamily="49" charset="0"/>
          </a:endParaRPr>
        </a:p>
      </xdr:txBody>
    </xdr:sp>
    <xdr:clientData/>
  </xdr:twoCellAnchor>
  <xdr:twoCellAnchor>
    <xdr:from>
      <xdr:col>17</xdr:col>
      <xdr:colOff>515471</xdr:colOff>
      <xdr:row>9</xdr:row>
      <xdr:rowOff>36980</xdr:rowOff>
    </xdr:from>
    <xdr:to>
      <xdr:col>18</xdr:col>
      <xdr:colOff>601195</xdr:colOff>
      <xdr:row>11</xdr:row>
      <xdr:rowOff>36980</xdr:rowOff>
    </xdr:to>
    <xdr:sp macro="" textlink="">
      <xdr:nvSpPr>
        <xdr:cNvPr id="25" name="TextBox 24">
          <a:extLst>
            <a:ext uri="{FF2B5EF4-FFF2-40B4-BE49-F238E27FC236}">
              <a16:creationId xmlns:a16="http://schemas.microsoft.com/office/drawing/2014/main" id="{FD0B0A1E-FF70-844B-D8AB-09D1EB784BF7}"/>
            </a:ext>
          </a:extLst>
        </xdr:cNvPr>
        <xdr:cNvSpPr txBox="1"/>
      </xdr:nvSpPr>
      <xdr:spPr>
        <a:xfrm>
          <a:off x="10802471" y="1751480"/>
          <a:ext cx="690842"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solidFill>
                <a:schemeClr val="bg1"/>
              </a:solidFill>
              <a:latin typeface="Consolas" panose="020B0609020204030204" pitchFamily="49" charset="0"/>
            </a:rPr>
            <a:t>183</a:t>
          </a:r>
          <a:endParaRPr lang="en-US" sz="1800">
            <a:solidFill>
              <a:schemeClr val="bg1"/>
            </a:solidFill>
            <a:latin typeface="Consolas" panose="020B0609020204030204" pitchFamily="49" charset="0"/>
          </a:endParaRPr>
        </a:p>
      </xdr:txBody>
    </xdr:sp>
    <xdr:clientData/>
  </xdr:twoCellAnchor>
  <xdr:twoCellAnchor>
    <xdr:from>
      <xdr:col>21</xdr:col>
      <xdr:colOff>270062</xdr:colOff>
      <xdr:row>6</xdr:row>
      <xdr:rowOff>83485</xdr:rowOff>
    </xdr:from>
    <xdr:to>
      <xdr:col>26</xdr:col>
      <xdr:colOff>513229</xdr:colOff>
      <xdr:row>11</xdr:row>
      <xdr:rowOff>178735</xdr:rowOff>
    </xdr:to>
    <xdr:sp macro="" textlink="">
      <xdr:nvSpPr>
        <xdr:cNvPr id="10" name="Rectangle 9">
          <a:extLst>
            <a:ext uri="{FF2B5EF4-FFF2-40B4-BE49-F238E27FC236}">
              <a16:creationId xmlns:a16="http://schemas.microsoft.com/office/drawing/2014/main" id="{0F446F28-8EEC-673D-8B21-04BFA2DDDF42}"/>
            </a:ext>
          </a:extLst>
        </xdr:cNvPr>
        <xdr:cNvSpPr/>
      </xdr:nvSpPr>
      <xdr:spPr>
        <a:xfrm>
          <a:off x="12977533" y="1226485"/>
          <a:ext cx="3268755" cy="1047750"/>
        </a:xfrm>
        <a:prstGeom prst="rect">
          <a:avLst/>
        </a:prstGeom>
        <a:solidFill>
          <a:srgbClr val="0042A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575980</xdr:colOff>
      <xdr:row>6</xdr:row>
      <xdr:rowOff>187137</xdr:rowOff>
    </xdr:from>
    <xdr:to>
      <xdr:col>25</xdr:col>
      <xdr:colOff>593911</xdr:colOff>
      <xdr:row>8</xdr:row>
      <xdr:rowOff>187137</xdr:rowOff>
    </xdr:to>
    <xdr:sp macro="" textlink="">
      <xdr:nvSpPr>
        <xdr:cNvPr id="23" name="TextBox 22">
          <a:extLst>
            <a:ext uri="{FF2B5EF4-FFF2-40B4-BE49-F238E27FC236}">
              <a16:creationId xmlns:a16="http://schemas.microsoft.com/office/drawing/2014/main" id="{0EBA5F61-F7F0-305D-F017-77D1B8257D79}"/>
            </a:ext>
          </a:extLst>
        </xdr:cNvPr>
        <xdr:cNvSpPr txBox="1"/>
      </xdr:nvSpPr>
      <xdr:spPr>
        <a:xfrm>
          <a:off x="13283451" y="1330137"/>
          <a:ext cx="243840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aseline="0">
              <a:solidFill>
                <a:schemeClr val="bg1"/>
              </a:solidFill>
              <a:latin typeface="Consolas" panose="020B0609020204030204" pitchFamily="49" charset="0"/>
            </a:rPr>
            <a:t>Approval Rate</a:t>
          </a:r>
        </a:p>
      </xdr:txBody>
    </xdr:sp>
    <xdr:clientData/>
  </xdr:twoCellAnchor>
  <xdr:twoCellAnchor>
    <xdr:from>
      <xdr:col>22</xdr:col>
      <xdr:colOff>382681</xdr:colOff>
      <xdr:row>8</xdr:row>
      <xdr:rowOff>187698</xdr:rowOff>
    </xdr:from>
    <xdr:to>
      <xdr:col>25</xdr:col>
      <xdr:colOff>177612</xdr:colOff>
      <xdr:row>10</xdr:row>
      <xdr:rowOff>187698</xdr:rowOff>
    </xdr:to>
    <xdr:sp macro="" textlink="">
      <xdr:nvSpPr>
        <xdr:cNvPr id="26" name="TextBox 25">
          <a:extLst>
            <a:ext uri="{FF2B5EF4-FFF2-40B4-BE49-F238E27FC236}">
              <a16:creationId xmlns:a16="http://schemas.microsoft.com/office/drawing/2014/main" id="{4FEB262C-865A-5B3F-A120-E5E0568D1ECA}"/>
            </a:ext>
          </a:extLst>
        </xdr:cNvPr>
        <xdr:cNvSpPr txBox="1"/>
      </xdr:nvSpPr>
      <xdr:spPr>
        <a:xfrm>
          <a:off x="13695269" y="1711698"/>
          <a:ext cx="161028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aseline="0">
              <a:solidFill>
                <a:schemeClr val="bg1"/>
              </a:solidFill>
              <a:latin typeface="Consolas" panose="020B0609020204030204" pitchFamily="49" charset="0"/>
            </a:rPr>
            <a:t>0.48773842</a:t>
          </a:r>
          <a:endParaRPr lang="en-US" sz="1800">
            <a:solidFill>
              <a:schemeClr val="bg1"/>
            </a:solidFill>
            <a:latin typeface="Consolas" panose="020B0609020204030204" pitchFamily="49" charset="0"/>
          </a:endParaRPr>
        </a:p>
      </xdr:txBody>
    </xdr:sp>
    <xdr:clientData/>
  </xdr:twoCellAnchor>
  <xdr:twoCellAnchor>
    <xdr:from>
      <xdr:col>26</xdr:col>
      <xdr:colOff>568139</xdr:colOff>
      <xdr:row>6</xdr:row>
      <xdr:rowOff>67797</xdr:rowOff>
    </xdr:from>
    <xdr:to>
      <xdr:col>32</xdr:col>
      <xdr:colOff>206188</xdr:colOff>
      <xdr:row>11</xdr:row>
      <xdr:rowOff>163047</xdr:rowOff>
    </xdr:to>
    <xdr:sp macro="" textlink="">
      <xdr:nvSpPr>
        <xdr:cNvPr id="40" name="Rectangle 39">
          <a:extLst>
            <a:ext uri="{FF2B5EF4-FFF2-40B4-BE49-F238E27FC236}">
              <a16:creationId xmlns:a16="http://schemas.microsoft.com/office/drawing/2014/main" id="{2507BF3C-E29B-B82E-531C-9977EFEB0B24}"/>
            </a:ext>
          </a:extLst>
        </xdr:cNvPr>
        <xdr:cNvSpPr/>
      </xdr:nvSpPr>
      <xdr:spPr>
        <a:xfrm>
          <a:off x="16301198" y="1210797"/>
          <a:ext cx="3268755" cy="1047750"/>
        </a:xfrm>
        <a:prstGeom prst="rect">
          <a:avLst/>
        </a:prstGeom>
        <a:solidFill>
          <a:srgbClr val="0042A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263341</xdr:colOff>
      <xdr:row>6</xdr:row>
      <xdr:rowOff>151839</xdr:rowOff>
    </xdr:from>
    <xdr:to>
      <xdr:col>31</xdr:col>
      <xdr:colOff>582707</xdr:colOff>
      <xdr:row>8</xdr:row>
      <xdr:rowOff>151839</xdr:rowOff>
    </xdr:to>
    <xdr:sp macro="" textlink="">
      <xdr:nvSpPr>
        <xdr:cNvPr id="27" name="TextBox 26">
          <a:extLst>
            <a:ext uri="{FF2B5EF4-FFF2-40B4-BE49-F238E27FC236}">
              <a16:creationId xmlns:a16="http://schemas.microsoft.com/office/drawing/2014/main" id="{1E3A167C-D0B1-C400-3986-81893EE04C56}"/>
            </a:ext>
          </a:extLst>
        </xdr:cNvPr>
        <xdr:cNvSpPr txBox="1"/>
      </xdr:nvSpPr>
      <xdr:spPr>
        <a:xfrm>
          <a:off x="16601517" y="1294839"/>
          <a:ext cx="2739837"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aseline="0">
              <a:solidFill>
                <a:schemeClr val="bg1"/>
              </a:solidFill>
              <a:latin typeface="Consolas" panose="020B0609020204030204" pitchFamily="49" charset="0"/>
            </a:rPr>
            <a:t>Avg Loan Amount</a:t>
          </a:r>
          <a:endParaRPr lang="en-US" sz="2400">
            <a:solidFill>
              <a:schemeClr val="bg1"/>
            </a:solidFill>
            <a:latin typeface="Consolas" panose="020B0609020204030204" pitchFamily="49" charset="0"/>
          </a:endParaRPr>
        </a:p>
      </xdr:txBody>
    </xdr:sp>
    <xdr:clientData/>
  </xdr:twoCellAnchor>
  <xdr:twoCellAnchor>
    <xdr:from>
      <xdr:col>28</xdr:col>
      <xdr:colOff>108698</xdr:colOff>
      <xdr:row>8</xdr:row>
      <xdr:rowOff>117101</xdr:rowOff>
    </xdr:from>
    <xdr:to>
      <xdr:col>31</xdr:col>
      <xdr:colOff>199465</xdr:colOff>
      <xdr:row>10</xdr:row>
      <xdr:rowOff>117101</xdr:rowOff>
    </xdr:to>
    <xdr:sp macro="" textlink="">
      <xdr:nvSpPr>
        <xdr:cNvPr id="29" name="TextBox 28">
          <a:extLst>
            <a:ext uri="{FF2B5EF4-FFF2-40B4-BE49-F238E27FC236}">
              <a16:creationId xmlns:a16="http://schemas.microsoft.com/office/drawing/2014/main" id="{23BF537F-74BF-8CFD-C53C-A142B94D6D94}"/>
            </a:ext>
          </a:extLst>
        </xdr:cNvPr>
        <xdr:cNvSpPr txBox="1"/>
      </xdr:nvSpPr>
      <xdr:spPr>
        <a:xfrm>
          <a:off x="17051992" y="1641101"/>
          <a:ext cx="190612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aseline="0">
              <a:solidFill>
                <a:schemeClr val="bg1"/>
              </a:solidFill>
              <a:latin typeface="Consolas" panose="020B0609020204030204" pitchFamily="49" charset="0"/>
            </a:rPr>
            <a:t>136.1325968</a:t>
          </a:r>
          <a:endParaRPr lang="en-US" sz="2000">
            <a:solidFill>
              <a:schemeClr val="bg1"/>
            </a:solidFill>
            <a:latin typeface="Consolas" panose="020B0609020204030204" pitchFamily="49" charset="0"/>
          </a:endParaRPr>
        </a:p>
      </xdr:txBody>
    </xdr:sp>
    <xdr:clientData/>
  </xdr:twoCellAnchor>
  <xdr:twoCellAnchor editAs="oneCell">
    <xdr:from>
      <xdr:col>26</xdr:col>
      <xdr:colOff>414617</xdr:colOff>
      <xdr:row>1</xdr:row>
      <xdr:rowOff>123265</xdr:rowOff>
    </xdr:from>
    <xdr:to>
      <xdr:col>28</xdr:col>
      <xdr:colOff>354106</xdr:colOff>
      <xdr:row>6</xdr:row>
      <xdr:rowOff>85165</xdr:rowOff>
    </xdr:to>
    <xdr:pic>
      <xdr:nvPicPr>
        <xdr:cNvPr id="42" name="Graphic 41" descr="Arrow circle with solid fill">
          <a:extLst>
            <a:ext uri="{FF2B5EF4-FFF2-40B4-BE49-F238E27FC236}">
              <a16:creationId xmlns:a16="http://schemas.microsoft.com/office/drawing/2014/main" id="{804BB2EC-43EE-8892-22B1-F1E6687254D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6147676" y="313765"/>
          <a:ext cx="1149724" cy="914400"/>
        </a:xfrm>
        <a:prstGeom prst="rect">
          <a:avLst/>
        </a:prstGeom>
      </xdr:spPr>
    </xdr:pic>
    <xdr:clientData/>
  </xdr:twoCellAnchor>
  <xdr:twoCellAnchor editAs="oneCell">
    <xdr:from>
      <xdr:col>28</xdr:col>
      <xdr:colOff>380999</xdr:colOff>
      <xdr:row>1</xdr:row>
      <xdr:rowOff>112059</xdr:rowOff>
    </xdr:from>
    <xdr:to>
      <xdr:col>30</xdr:col>
      <xdr:colOff>85164</xdr:colOff>
      <xdr:row>6</xdr:row>
      <xdr:rowOff>73959</xdr:rowOff>
    </xdr:to>
    <xdr:pic>
      <xdr:nvPicPr>
        <xdr:cNvPr id="44" name="Graphic 43" descr="Children with solid fill">
          <a:extLst>
            <a:ext uri="{FF2B5EF4-FFF2-40B4-BE49-F238E27FC236}">
              <a16:creationId xmlns:a16="http://schemas.microsoft.com/office/drawing/2014/main" id="{3F380874-4217-4DB5-C4ED-C16BC6233DC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7324293" y="302559"/>
          <a:ext cx="914400" cy="9144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200025</xdr:colOff>
      <xdr:row>0</xdr:row>
      <xdr:rowOff>161924</xdr:rowOff>
    </xdr:from>
    <xdr:to>
      <xdr:col>10</xdr:col>
      <xdr:colOff>314325</xdr:colOff>
      <xdr:row>41</xdr:row>
      <xdr:rowOff>19049</xdr:rowOff>
    </xdr:to>
    <xdr:sp macro="" textlink="">
      <xdr:nvSpPr>
        <xdr:cNvPr id="2" name="Rectangle 1">
          <a:extLst>
            <a:ext uri="{FF2B5EF4-FFF2-40B4-BE49-F238E27FC236}">
              <a16:creationId xmlns:a16="http://schemas.microsoft.com/office/drawing/2014/main" id="{74EE5FA4-B049-9539-F8CF-E23D34AC5B00}"/>
            </a:ext>
          </a:extLst>
        </xdr:cNvPr>
        <xdr:cNvSpPr/>
      </xdr:nvSpPr>
      <xdr:spPr>
        <a:xfrm>
          <a:off x="200025" y="161924"/>
          <a:ext cx="6210300" cy="7667625"/>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latin typeface="Consolas" panose="020B0609020204030204" pitchFamily="49" charset="0"/>
            </a:rPr>
            <a:t>Post-Analysis Observation</a:t>
          </a:r>
        </a:p>
        <a:p>
          <a:pPr algn="l"/>
          <a:endParaRPr lang="en-US" sz="1400" b="1">
            <a:latin typeface="Consolas" panose="020B0609020204030204" pitchFamily="49" charset="0"/>
          </a:endParaRPr>
        </a:p>
        <a:p>
          <a:pPr algn="l"/>
          <a:r>
            <a:rPr lang="en-US" sz="1400" b="1">
              <a:latin typeface="Consolas" panose="020B0609020204030204" pitchFamily="49" charset="0"/>
            </a:rPr>
            <a:t>Gender Slicer</a:t>
          </a:r>
        </a:p>
        <a:p>
          <a:pPr algn="l"/>
          <a:endParaRPr lang="en-US" sz="1400" b="1">
            <a:latin typeface="Consolas" panose="020B0609020204030204" pitchFamily="49" charset="0"/>
          </a:endParaRPr>
        </a:p>
        <a:p>
          <a:pPr algn="l"/>
          <a:r>
            <a:rPr lang="en-US" sz="1400" b="0">
              <a:latin typeface="Consolas" panose="020B0609020204030204" pitchFamily="49" charset="0"/>
            </a:rPr>
            <a:t>1. </a:t>
          </a:r>
          <a:r>
            <a:rPr lang="en-US" sz="1400" b="1">
              <a:latin typeface="Consolas" panose="020B0609020204030204" pitchFamily="49" charset="0"/>
            </a:rPr>
            <a:t>Female</a:t>
          </a:r>
        </a:p>
        <a:p>
          <a:r>
            <a:rPr lang="en-US" sz="1200" b="0" baseline="0">
              <a:solidFill>
                <a:schemeClr val="lt1"/>
              </a:solidFill>
              <a:effectLst/>
              <a:latin typeface="Consolas" panose="020B0609020204030204" pitchFamily="49" charset="0"/>
              <a:ea typeface="+mn-ea"/>
              <a:cs typeface="+mn-cs"/>
            </a:rPr>
            <a:t>Female applicants are 70 and actually achieve a comparable approval rate at 72.9%,got 37 rejected and 33 approved on loan approval distribution.</a:t>
          </a:r>
        </a:p>
        <a:p>
          <a:r>
            <a:rPr lang="en-US" sz="1200" b="0" baseline="0">
              <a:solidFill>
                <a:schemeClr val="lt1"/>
              </a:solidFill>
              <a:effectLst/>
              <a:latin typeface="Consolas" panose="020B0609020204030204" pitchFamily="49" charset="0"/>
              <a:ea typeface="+mn-ea"/>
              <a:cs typeface="+mn-cs"/>
            </a:rPr>
            <a:t>the female applicants carry a siginificantly higher loan-to-income ratio at 26.7 meaning females are browing larger proportion of their income,they are slightly more educated 84.48% are graduate and 15.15% not graduate while for self-employed vs loan approval,(blank) got 3 rejected and 3 approved, Yes got 2 rejected and 2 approved, No has 32 rejected and 31 approved.</a:t>
          </a:r>
        </a:p>
        <a:p>
          <a:r>
            <a:rPr lang="en-US" sz="1200" b="0" baseline="0">
              <a:solidFill>
                <a:schemeClr val="lt1"/>
              </a:solidFill>
              <a:effectLst/>
              <a:latin typeface="Consolas" panose="020B0609020204030204" pitchFamily="49" charset="0"/>
              <a:ea typeface="+mn-ea"/>
              <a:cs typeface="+mn-cs"/>
            </a:rPr>
            <a:t>female applicants have approved of 33 and 18 rejected on 1, rejected of of 13 on 0, rejected of 6 on (blank) for credit history impact on loan approval.</a:t>
          </a:r>
        </a:p>
        <a:p>
          <a:r>
            <a:rPr lang="en-US" sz="1200" b="0" baseline="0">
              <a:solidFill>
                <a:schemeClr val="lt1"/>
              </a:solidFill>
              <a:effectLst/>
              <a:latin typeface="Consolas" panose="020B0609020204030204" pitchFamily="49" charset="0"/>
              <a:ea typeface="+mn-ea"/>
              <a:cs typeface="+mn-cs"/>
            </a:rPr>
            <a:t>Female in this dataset face greater historical credit challenge or thinner credit files.</a:t>
          </a:r>
        </a:p>
        <a:p>
          <a:endParaRPr lang="en-US" sz="1200" b="0" baseline="0">
            <a:solidFill>
              <a:schemeClr val="lt1"/>
            </a:solidFill>
            <a:effectLst/>
            <a:latin typeface="Consolas" panose="020B0609020204030204" pitchFamily="49" charset="0"/>
            <a:ea typeface="+mn-ea"/>
            <a:cs typeface="+mn-cs"/>
          </a:endParaRPr>
        </a:p>
        <a:p>
          <a:r>
            <a:rPr lang="en-US" sz="1200" b="0" baseline="0">
              <a:solidFill>
                <a:schemeClr val="lt1"/>
              </a:solidFill>
              <a:effectLst/>
              <a:latin typeface="Consolas" panose="020B0609020204030204" pitchFamily="49" charset="0"/>
              <a:ea typeface="+mn-ea"/>
              <a:cs typeface="+mn-cs"/>
            </a:rPr>
            <a:t>2. </a:t>
          </a:r>
          <a:r>
            <a:rPr lang="en-US" sz="1200" b="1" baseline="0">
              <a:solidFill>
                <a:schemeClr val="lt1"/>
              </a:solidFill>
              <a:effectLst/>
              <a:latin typeface="Consolas" panose="020B0609020204030204" pitchFamily="49" charset="0"/>
              <a:ea typeface="+mn-ea"/>
              <a:cs typeface="+mn-cs"/>
            </a:rPr>
            <a:t>Male</a:t>
          </a:r>
        </a:p>
        <a:p>
          <a:r>
            <a:rPr lang="en-US" sz="1200" b="0" baseline="0">
              <a:solidFill>
                <a:schemeClr val="lt1"/>
              </a:solidFill>
              <a:effectLst/>
              <a:latin typeface="Consolas" panose="020B0609020204030204" pitchFamily="49" charset="0"/>
              <a:ea typeface="+mn-ea"/>
              <a:cs typeface="+mn-cs"/>
            </a:rPr>
            <a:t>Male applicants are 286 and acheive approval rate at 76.6%, got 146 rejected and 140 approved on loan approval distribution, 80.00% graduate and 20.00% not graduate for education impact on loan approval while for self-employed vs loan approval, (blank) got 14 rejected and 6 approved, Yes got 14 rejected and 17 approved, No got 118 rejected and 117 approved.</a:t>
          </a:r>
        </a:p>
        <a:p>
          <a:r>
            <a:rPr lang="en-US" sz="1200" b="0" baseline="0">
              <a:solidFill>
                <a:schemeClr val="lt1"/>
              </a:solidFill>
              <a:effectLst/>
              <a:latin typeface="Consolas" panose="020B0609020204030204" pitchFamily="49" charset="0"/>
              <a:ea typeface="+mn-ea"/>
              <a:cs typeface="+mn-cs"/>
            </a:rPr>
            <a:t>Male applicants have approved of 140 and 79 rejected on 1, 44 rejected on 0, rejected of 23 on (blank) for credit history impact on loan approval</a:t>
          </a:r>
        </a:p>
        <a:p>
          <a:r>
            <a:rPr lang="en-US" sz="1200" b="0" baseline="0">
              <a:solidFill>
                <a:schemeClr val="lt1"/>
              </a:solidFill>
              <a:effectLst/>
              <a:latin typeface="Consolas" panose="020B0609020204030204" pitchFamily="49" charset="0"/>
              <a:ea typeface="+mn-ea"/>
              <a:cs typeface="+mn-cs"/>
            </a:rPr>
            <a:t>credit history is near-exclusive approval determinate for male applicant.</a:t>
          </a:r>
        </a:p>
        <a:p>
          <a:endParaRPr lang="en-US" sz="1200" b="0" baseline="0">
            <a:solidFill>
              <a:schemeClr val="lt1"/>
            </a:solidFill>
            <a:effectLst/>
            <a:latin typeface="Consolas" panose="020B0609020204030204" pitchFamily="49" charset="0"/>
            <a:ea typeface="+mn-ea"/>
            <a:cs typeface="+mn-cs"/>
          </a:endParaRPr>
        </a:p>
        <a:p>
          <a:r>
            <a:rPr lang="en-US" sz="1200" b="0" baseline="0">
              <a:solidFill>
                <a:schemeClr val="lt1"/>
              </a:solidFill>
              <a:effectLst/>
              <a:latin typeface="Consolas" panose="020B0609020204030204" pitchFamily="49" charset="0"/>
              <a:ea typeface="+mn-ea"/>
              <a:cs typeface="+mn-cs"/>
            </a:rPr>
            <a:t>3. </a:t>
          </a:r>
          <a:r>
            <a:rPr lang="en-US" sz="1200" b="1" baseline="0">
              <a:solidFill>
                <a:schemeClr val="lt1"/>
              </a:solidFill>
              <a:effectLst/>
              <a:latin typeface="Consolas" panose="020B0609020204030204" pitchFamily="49" charset="0"/>
              <a:ea typeface="+mn-ea"/>
              <a:cs typeface="+mn-cs"/>
            </a:rPr>
            <a:t>(blank)</a:t>
          </a:r>
        </a:p>
        <a:p>
          <a:r>
            <a:rPr lang="en-US" sz="1200" b="0" baseline="0">
              <a:solidFill>
                <a:schemeClr val="lt1"/>
              </a:solidFill>
              <a:effectLst/>
              <a:latin typeface="Consolas" panose="020B0609020204030204" pitchFamily="49" charset="0"/>
              <a:ea typeface="+mn-ea"/>
              <a:cs typeface="+mn-cs"/>
            </a:rPr>
            <a:t>blank applicants are 11 and achieved the highest approval rate at 81.8%, got 5 rejected and 6 approved on loan approval distribution,66.67% graduate and 33.33% not graduate for education impact on loan appproval while for self-employed vs loan approval,Yes got 2 rejected, No got 6 approved and 3 rejected.</a:t>
          </a:r>
        </a:p>
        <a:p>
          <a:r>
            <a:rPr lang="en-US" sz="1200" b="0" baseline="0">
              <a:solidFill>
                <a:schemeClr val="lt1"/>
              </a:solidFill>
              <a:effectLst/>
              <a:latin typeface="Consolas" panose="020B0609020204030204" pitchFamily="49" charset="0"/>
              <a:ea typeface="+mn-ea"/>
              <a:cs typeface="+mn-cs"/>
            </a:rPr>
            <a:t>unknow applicants have approved of 6 and 3 on 1, 2 rejected on 0 for credit history impact on loan approval.</a:t>
          </a:r>
        </a:p>
        <a:p>
          <a:endParaRPr lang="en-US" sz="1200" b="1" baseline="0">
            <a:solidFill>
              <a:schemeClr val="lt1"/>
            </a:solidFill>
            <a:effectLst/>
            <a:latin typeface="Consolas" panose="020B0609020204030204" pitchFamily="49" charset="0"/>
            <a:ea typeface="+mn-ea"/>
            <a:cs typeface="+mn-cs"/>
          </a:endParaRPr>
        </a:p>
        <a:p>
          <a:endParaRPr lang="en-US" sz="1200" b="1" baseline="0">
            <a:solidFill>
              <a:schemeClr val="lt1"/>
            </a:solidFill>
            <a:effectLst/>
            <a:latin typeface="Consolas" panose="020B0609020204030204" pitchFamily="49" charset="0"/>
            <a:ea typeface="+mn-ea"/>
            <a:cs typeface="+mn-cs"/>
          </a:endParaRPr>
        </a:p>
        <a:p>
          <a:endParaRPr lang="en-US" sz="1200" b="1" baseline="0">
            <a:solidFill>
              <a:schemeClr val="lt1"/>
            </a:solidFill>
            <a:effectLst/>
            <a:latin typeface="Consolas" panose="020B0609020204030204" pitchFamily="49" charset="0"/>
            <a:ea typeface="+mn-ea"/>
            <a:cs typeface="+mn-cs"/>
          </a:endParaRPr>
        </a:p>
        <a:p>
          <a:endParaRPr lang="en-US" sz="1200" b="1" baseline="0">
            <a:solidFill>
              <a:schemeClr val="lt1"/>
            </a:solidFill>
            <a:effectLst/>
            <a:latin typeface="Consolas" panose="020B0609020204030204" pitchFamily="49" charset="0"/>
            <a:ea typeface="+mn-ea"/>
            <a:cs typeface="+mn-cs"/>
          </a:endParaRPr>
        </a:p>
        <a:p>
          <a:endParaRPr lang="en-US" sz="1200" b="1" baseline="0">
            <a:solidFill>
              <a:schemeClr val="lt1"/>
            </a:solidFill>
            <a:effectLst/>
            <a:latin typeface="Consolas" panose="020B0609020204030204" pitchFamily="49" charset="0"/>
            <a:ea typeface="+mn-ea"/>
            <a:cs typeface="+mn-cs"/>
          </a:endParaRPr>
        </a:p>
        <a:p>
          <a:endParaRPr lang="en-US" sz="1200" b="1" baseline="0">
            <a:solidFill>
              <a:schemeClr val="lt1"/>
            </a:solidFill>
            <a:effectLst/>
            <a:latin typeface="Consolas" panose="020B0609020204030204" pitchFamily="49" charset="0"/>
            <a:ea typeface="+mn-ea"/>
            <a:cs typeface="+mn-cs"/>
          </a:endParaRPr>
        </a:p>
        <a:p>
          <a:endParaRPr lang="en-US" sz="1200" b="1" baseline="0">
            <a:solidFill>
              <a:schemeClr val="lt1"/>
            </a:solidFill>
            <a:effectLst/>
            <a:latin typeface="Consolas" panose="020B0609020204030204" pitchFamily="49" charset="0"/>
            <a:ea typeface="+mn-ea"/>
            <a:cs typeface="+mn-cs"/>
          </a:endParaRPr>
        </a:p>
        <a:p>
          <a:endParaRPr lang="en-US" sz="1200" b="1" baseline="0">
            <a:solidFill>
              <a:schemeClr val="lt1"/>
            </a:solidFill>
            <a:effectLst/>
            <a:latin typeface="Consolas" panose="020B0609020204030204" pitchFamily="49" charset="0"/>
            <a:ea typeface="+mn-ea"/>
            <a:cs typeface="+mn-cs"/>
          </a:endParaRPr>
        </a:p>
        <a:p>
          <a:endParaRPr lang="en-US" sz="1200" b="1" baseline="0">
            <a:solidFill>
              <a:schemeClr val="lt1"/>
            </a:solidFill>
            <a:effectLst/>
            <a:latin typeface="Consolas" panose="020B0609020204030204" pitchFamily="49" charset="0"/>
            <a:ea typeface="+mn-ea"/>
            <a:cs typeface="+mn-cs"/>
          </a:endParaRPr>
        </a:p>
        <a:p>
          <a:endParaRPr lang="en-US" sz="1200" b="1" baseline="0">
            <a:solidFill>
              <a:schemeClr val="lt1"/>
            </a:solidFill>
            <a:effectLst/>
            <a:latin typeface="Consolas" panose="020B0609020204030204" pitchFamily="49" charset="0"/>
            <a:ea typeface="+mn-ea"/>
            <a:cs typeface="+mn-cs"/>
          </a:endParaRPr>
        </a:p>
        <a:p>
          <a:pPr algn="l"/>
          <a:endParaRPr lang="en-US" sz="1400" b="0">
            <a:latin typeface="Consolas" panose="020B0609020204030204" pitchFamily="49" charset="0"/>
          </a:endParaRPr>
        </a:p>
      </xdr:txBody>
    </xdr:sp>
    <xdr:clientData/>
  </xdr:twoCellAnchor>
  <xdr:twoCellAnchor>
    <xdr:from>
      <xdr:col>10</xdr:col>
      <xdr:colOff>523875</xdr:colOff>
      <xdr:row>0</xdr:row>
      <xdr:rowOff>161924</xdr:rowOff>
    </xdr:from>
    <xdr:to>
      <xdr:col>21</xdr:col>
      <xdr:colOff>28575</xdr:colOff>
      <xdr:row>52</xdr:row>
      <xdr:rowOff>66675</xdr:rowOff>
    </xdr:to>
    <xdr:sp macro="" textlink="">
      <xdr:nvSpPr>
        <xdr:cNvPr id="3" name="Rectangle 2">
          <a:extLst>
            <a:ext uri="{FF2B5EF4-FFF2-40B4-BE49-F238E27FC236}">
              <a16:creationId xmlns:a16="http://schemas.microsoft.com/office/drawing/2014/main" id="{A7A0318F-0E23-F7DD-B49E-0F5EAEBE1E19}"/>
            </a:ext>
          </a:extLst>
        </xdr:cNvPr>
        <xdr:cNvSpPr/>
      </xdr:nvSpPr>
      <xdr:spPr>
        <a:xfrm>
          <a:off x="6619875" y="161924"/>
          <a:ext cx="6210300" cy="9810751"/>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latin typeface="Consolas" panose="020B0609020204030204" pitchFamily="49" charset="0"/>
            </a:rPr>
            <a:t>Post-Analysis Insight</a:t>
          </a:r>
        </a:p>
        <a:p>
          <a:pPr algn="l"/>
          <a:endParaRPr lang="en-US" sz="1400" b="1">
            <a:latin typeface="Consolas" panose="020B0609020204030204" pitchFamily="49" charset="0"/>
          </a:endParaRPr>
        </a:p>
        <a:p>
          <a:pPr algn="l"/>
          <a:r>
            <a:rPr lang="en-US" sz="1400" b="1">
              <a:latin typeface="Consolas" panose="020B0609020204030204" pitchFamily="49" charset="0"/>
            </a:rPr>
            <a:t>Gender Slicer</a:t>
          </a:r>
        </a:p>
        <a:p>
          <a:pPr algn="l"/>
          <a:endParaRPr lang="en-US" sz="1400" b="1">
            <a:latin typeface="Consolas" panose="020B0609020204030204" pitchFamily="49" charset="0"/>
          </a:endParaRPr>
        </a:p>
        <a:p>
          <a:r>
            <a:rPr lang="en-US" sz="1400" b="0">
              <a:latin typeface="Consolas" panose="020B0609020204030204" pitchFamily="49" charset="0"/>
            </a:rPr>
            <a:t>1.</a:t>
          </a:r>
          <a:r>
            <a:rPr lang="en-US" sz="1400" b="1">
              <a:latin typeface="+mn-lt"/>
            </a:rPr>
            <a:t>Female</a:t>
          </a:r>
          <a:endParaRPr lang="en-US" sz="1400" b="1"/>
        </a:p>
        <a:p>
          <a:r>
            <a:rPr lang="en-US" sz="1200">
              <a:latin typeface="Consolas" panose="020B0609020204030204" pitchFamily="49" charset="0"/>
            </a:rPr>
            <a:t>Female applicants demonstrate </a:t>
          </a:r>
          <a:r>
            <a:rPr lang="en-US" sz="1200" b="1">
              <a:latin typeface="Consolas" panose="020B0609020204030204" pitchFamily="49" charset="0"/>
            </a:rPr>
            <a:t>strong educational backgrounds and comparable approval rates</a:t>
          </a:r>
          <a:r>
            <a:rPr lang="en-US" sz="1200">
              <a:latin typeface="Consolas" panose="020B0609020204030204" pitchFamily="49" charset="0"/>
            </a:rPr>
            <a:t>, they appear to </a:t>
          </a:r>
          <a:r>
            <a:rPr lang="en-US" sz="1200" b="1">
              <a:latin typeface="Consolas" panose="020B0609020204030204" pitchFamily="49" charset="0"/>
            </a:rPr>
            <a:t>face greater credit history limitations and higher borrowing pressure</a:t>
          </a:r>
          <a:r>
            <a:rPr lang="en-US" sz="1200">
              <a:latin typeface="Consolas" panose="020B0609020204030204" pitchFamily="49" charset="0"/>
            </a:rPr>
            <a:t>, highlighting an opportunity for lenders to adopt </a:t>
          </a:r>
          <a:r>
            <a:rPr lang="en-US" sz="1200" b="1">
              <a:latin typeface="Consolas" panose="020B0609020204030204" pitchFamily="49" charset="0"/>
            </a:rPr>
            <a:t>more inclusive credit evaluation frameworks</a:t>
          </a:r>
          <a:r>
            <a:rPr lang="en-US" sz="1200">
              <a:latin typeface="Consolas" panose="020B0609020204030204" pitchFamily="49" charset="0"/>
            </a:rPr>
            <a:t> that account for broader financial indicators.</a:t>
          </a:r>
        </a:p>
        <a:p>
          <a:pPr algn="l"/>
          <a:r>
            <a:rPr lang="en-US" sz="1400" b="0">
              <a:latin typeface="Consolas" panose="020B0609020204030204" pitchFamily="49" charset="0"/>
            </a:rPr>
            <a:t>  </a:t>
          </a:r>
          <a:endParaRPr lang="en-US" sz="1200" b="0" baseline="0">
            <a:solidFill>
              <a:schemeClr val="lt1"/>
            </a:solidFill>
            <a:effectLst/>
            <a:latin typeface="Consolas" panose="020B0609020204030204" pitchFamily="49" charset="0"/>
            <a:ea typeface="+mn-ea"/>
            <a:cs typeface="+mn-cs"/>
          </a:endParaRPr>
        </a:p>
        <a:p>
          <a:r>
            <a:rPr lang="en-US" sz="1200" b="1" baseline="0">
              <a:solidFill>
                <a:schemeClr val="lt1"/>
              </a:solidFill>
              <a:effectLst/>
              <a:latin typeface="Consolas" panose="020B0609020204030204" pitchFamily="49" charset="0"/>
              <a:ea typeface="+mn-ea"/>
              <a:cs typeface="+mn-cs"/>
            </a:rPr>
            <a:t>2.Male</a:t>
          </a:r>
          <a:endParaRPr lang="en-US" sz="1200" b="1"/>
        </a:p>
        <a:p>
          <a:r>
            <a:rPr lang="en-US" sz="1200">
              <a:latin typeface="Consolas" panose="020B0609020204030204" pitchFamily="49" charset="0"/>
            </a:rPr>
            <a:t>Male applicants demonstrate </a:t>
          </a:r>
          <a:r>
            <a:rPr lang="en-US" sz="1200" b="1">
              <a:latin typeface="Consolas" panose="020B0609020204030204" pitchFamily="49" charset="0"/>
            </a:rPr>
            <a:t>strong approval performance and high educational representation</a:t>
          </a:r>
          <a:r>
            <a:rPr lang="en-US" sz="1200">
              <a:latin typeface="Consolas" panose="020B0609020204030204" pitchFamily="49" charset="0"/>
            </a:rPr>
            <a:t>, but </a:t>
          </a:r>
          <a:r>
            <a:rPr lang="en-US" sz="1200" b="1">
              <a:latin typeface="Consolas" panose="020B0609020204030204" pitchFamily="49" charset="0"/>
            </a:rPr>
            <a:t>loan approval decisions remain heavily dependent on credit history</a:t>
          </a:r>
          <a:r>
            <a:rPr lang="en-US" sz="1200">
              <a:latin typeface="Consolas" panose="020B0609020204030204" pitchFamily="49" charset="0"/>
            </a:rPr>
            <a:t>, reinforcing the importance of credit records as the primary risk assessment metric in lending decisions.</a:t>
          </a:r>
        </a:p>
        <a:p>
          <a:endParaRPr lang="en-US" sz="1200">
            <a:latin typeface="Consolas" panose="020B0609020204030204" pitchFamily="49" charset="0"/>
          </a:endParaRPr>
        </a:p>
        <a:p>
          <a:r>
            <a:rPr lang="en-US" sz="1200">
              <a:latin typeface="Consolas" panose="020B0609020204030204" pitchFamily="49" charset="0"/>
            </a:rPr>
            <a:t>3.(blank)</a:t>
          </a:r>
        </a:p>
        <a:p>
          <a:r>
            <a:rPr lang="en-US" sz="1200">
              <a:latin typeface="Consolas" panose="020B0609020204030204" pitchFamily="49" charset="0"/>
            </a:rPr>
            <a:t>Although applicants with </a:t>
          </a:r>
          <a:r>
            <a:rPr lang="en-US" sz="1200" b="1">
              <a:latin typeface="Consolas" panose="020B0609020204030204" pitchFamily="49" charset="0"/>
            </a:rPr>
            <a:t>unspecified gender show the highest approval rate</a:t>
          </a:r>
          <a:r>
            <a:rPr lang="en-US" sz="1200">
              <a:latin typeface="Consolas" panose="020B0609020204030204" pitchFamily="49" charset="0"/>
            </a:rPr>
            <a:t>, the </a:t>
          </a:r>
          <a:r>
            <a:rPr lang="en-US" sz="1200" b="1">
              <a:latin typeface="Consolas" panose="020B0609020204030204" pitchFamily="49" charset="0"/>
            </a:rPr>
            <a:t>small sample size and missing demographic data limit strong conclusions</a:t>
          </a:r>
          <a:r>
            <a:rPr lang="en-US" sz="1200">
              <a:latin typeface="Consolas" panose="020B0609020204030204" pitchFamily="49" charset="0"/>
            </a:rPr>
            <a:t>, reinforcing the importance of </a:t>
          </a:r>
          <a:r>
            <a:rPr lang="en-US" sz="1200" b="1">
              <a:latin typeface="Consolas" panose="020B0609020204030204" pitchFamily="49" charset="0"/>
            </a:rPr>
            <a:t>data completeness and accurate record-keeping for reliable lending analysis</a:t>
          </a:r>
          <a:r>
            <a:rPr lang="en-US" sz="1200">
              <a:latin typeface="Consolas" panose="020B0609020204030204" pitchFamily="49" charset="0"/>
            </a:rPr>
            <a:t>.</a:t>
          </a:r>
        </a:p>
        <a:p>
          <a:endParaRPr lang="en-US" sz="1200">
            <a:latin typeface="Consolas" panose="020B0609020204030204" pitchFamily="49" charset="0"/>
          </a:endParaRPr>
        </a:p>
        <a:p>
          <a:r>
            <a:rPr lang="en-US" sz="1400" b="1">
              <a:latin typeface="Consolas" panose="020B0609020204030204" pitchFamily="49" charset="0"/>
            </a:rPr>
            <a:t>Overall Actionable Recommendations</a:t>
          </a:r>
        </a:p>
        <a:p>
          <a:r>
            <a:rPr lang="en-US" sz="1200" b="1">
              <a:latin typeface="Consolas" panose="020B0609020204030204" pitchFamily="49" charset="0"/>
            </a:rPr>
            <a:t>1. Enhance Credit Risk Assessment</a:t>
          </a:r>
          <a:br>
            <a:rPr lang="en-US" sz="1200">
              <a:latin typeface="Consolas" panose="020B0609020204030204" pitchFamily="49" charset="0"/>
            </a:rPr>
          </a:br>
          <a:r>
            <a:rPr lang="en-US" sz="1200">
              <a:latin typeface="Consolas" panose="020B0609020204030204" pitchFamily="49" charset="0"/>
            </a:rPr>
            <a:t>Since credit history is the </a:t>
          </a:r>
          <a:r>
            <a:rPr lang="en-US" sz="1200" b="1">
              <a:latin typeface="Consolas" panose="020B0609020204030204" pitchFamily="49" charset="0"/>
            </a:rPr>
            <a:t>primary driver of loan approval</a:t>
          </a:r>
          <a:r>
            <a:rPr lang="en-US" sz="1200">
              <a:latin typeface="Consolas" panose="020B0609020204030204" pitchFamily="49" charset="0"/>
            </a:rPr>
            <a:t>, financial institutions should strengthen credit evaluation frameworks and ensure applicants’ credit records are thoroughly assessed before loan approval decisions.</a:t>
          </a:r>
        </a:p>
        <a:p>
          <a:r>
            <a:rPr lang="en-US" sz="1200" b="1">
              <a:latin typeface="Consolas" panose="020B0609020204030204" pitchFamily="49" charset="0"/>
            </a:rPr>
            <a:t>2. Adopt Alternative Credit Evaluation Models</a:t>
          </a:r>
          <a:br>
            <a:rPr lang="en-US" sz="1200">
              <a:latin typeface="Consolas" panose="020B0609020204030204" pitchFamily="49" charset="0"/>
            </a:rPr>
          </a:br>
          <a:r>
            <a:rPr lang="en-US" sz="1200">
              <a:latin typeface="Consolas" panose="020B0609020204030204" pitchFamily="49" charset="0"/>
            </a:rPr>
            <a:t>Applicants with limited or missing credit history experience higher rejection rates. Institutions should integrate </a:t>
          </a:r>
          <a:r>
            <a:rPr lang="en-US" sz="1200" b="1">
              <a:latin typeface="Consolas" panose="020B0609020204030204" pitchFamily="49" charset="0"/>
            </a:rPr>
            <a:t>alternative credit indicators</a:t>
          </a:r>
          <a:r>
            <a:rPr lang="en-US" sz="1200">
              <a:latin typeface="Consolas" panose="020B0609020204030204" pitchFamily="49" charset="0"/>
            </a:rPr>
            <a:t> such as income consistency, employment stability, and repayment behavior to improve lending inclusivity.</a:t>
          </a:r>
        </a:p>
        <a:p>
          <a:r>
            <a:rPr lang="en-US" sz="1200" b="1">
              <a:latin typeface="Consolas" panose="020B0609020204030204" pitchFamily="49" charset="0"/>
            </a:rPr>
            <a:t>3. Implement Loan Affordability Controls</a:t>
          </a:r>
          <a:br>
            <a:rPr lang="en-US" sz="1200">
              <a:latin typeface="Consolas" panose="020B0609020204030204" pitchFamily="49" charset="0"/>
            </a:rPr>
          </a:br>
          <a:r>
            <a:rPr lang="en-US" sz="1200">
              <a:latin typeface="Consolas" panose="020B0609020204030204" pitchFamily="49" charset="0"/>
            </a:rPr>
            <a:t>Some applicants request loans that represent a </a:t>
          </a:r>
          <a:r>
            <a:rPr lang="en-US" sz="1200" b="1">
              <a:latin typeface="Consolas" panose="020B0609020204030204" pitchFamily="49" charset="0"/>
            </a:rPr>
            <a:t>large proportion of their income</a:t>
          </a:r>
          <a:r>
            <a:rPr lang="en-US" sz="1200">
              <a:latin typeface="Consolas" panose="020B0609020204030204" pitchFamily="49" charset="0"/>
            </a:rPr>
            <a:t>, increasing potential repayment risk. Establishing </a:t>
          </a:r>
          <a:r>
            <a:rPr lang="en-US" sz="1200" b="1">
              <a:latin typeface="Consolas" panose="020B0609020204030204" pitchFamily="49" charset="0"/>
            </a:rPr>
            <a:t>debt-to-income thresholds and affordability checks</a:t>
          </a:r>
          <a:r>
            <a:rPr lang="en-US" sz="1200">
              <a:latin typeface="Consolas" panose="020B0609020204030204" pitchFamily="49" charset="0"/>
            </a:rPr>
            <a:t> can support responsible lending practices.</a:t>
          </a:r>
        </a:p>
        <a:p>
          <a:r>
            <a:rPr lang="en-US" sz="1200" b="1">
              <a:latin typeface="Consolas" panose="020B0609020204030204" pitchFamily="49" charset="0"/>
            </a:rPr>
            <a:t>4. Improve Data Quality and Application Records</a:t>
          </a:r>
          <a:br>
            <a:rPr lang="en-US" sz="1200">
              <a:latin typeface="Consolas" panose="020B0609020204030204" pitchFamily="49" charset="0"/>
            </a:rPr>
          </a:br>
          <a:r>
            <a:rPr lang="en-US" sz="1200">
              <a:latin typeface="Consolas" panose="020B0609020204030204" pitchFamily="49" charset="0"/>
            </a:rPr>
            <a:t>Missing values in key variables such as gender and credit history reduce the reliability of analysis and decision-making. Financial institutions should implement </a:t>
          </a:r>
          <a:r>
            <a:rPr lang="en-US" sz="1200" b="1">
              <a:latin typeface="Consolas" panose="020B0609020204030204" pitchFamily="49" charset="0"/>
            </a:rPr>
            <a:t>better data collection and validation processes</a:t>
          </a:r>
          <a:r>
            <a:rPr lang="en-US" sz="1200">
              <a:latin typeface="Consolas" panose="020B0609020204030204" pitchFamily="49" charset="0"/>
            </a:rPr>
            <a:t> during loan applications.</a:t>
          </a:r>
        </a:p>
        <a:p>
          <a:r>
            <a:rPr lang="en-US" sz="1200" b="1">
              <a:latin typeface="Consolas" panose="020B0609020204030204" pitchFamily="49" charset="0"/>
            </a:rPr>
            <a:t>5. Leverage Data-Driven Lending Strategies</a:t>
          </a:r>
          <a:br>
            <a:rPr lang="en-US" sz="1200">
              <a:latin typeface="Consolas" panose="020B0609020204030204" pitchFamily="49" charset="0"/>
            </a:rPr>
          </a:br>
          <a:r>
            <a:rPr lang="en-US" sz="1200">
              <a:latin typeface="Consolas" panose="020B0609020204030204" pitchFamily="49" charset="0"/>
            </a:rPr>
            <a:t>Insights from variables such as education level, income, and employment status can improve lending outcomes. Integrating </a:t>
          </a:r>
          <a:r>
            <a:rPr lang="en-US" sz="1200" b="1">
              <a:latin typeface="Consolas" panose="020B0609020204030204" pitchFamily="49" charset="0"/>
            </a:rPr>
            <a:t>data analytics and predictive models</a:t>
          </a:r>
          <a:r>
            <a:rPr lang="en-US" sz="1200">
              <a:latin typeface="Consolas" panose="020B0609020204030204" pitchFamily="49" charset="0"/>
            </a:rPr>
            <a:t> into the loan approval process can enhance risk management and portfolio performance.</a:t>
          </a:r>
        </a:p>
        <a:p>
          <a:endParaRPr lang="en-US" sz="1200">
            <a:latin typeface="Consolas" panose="020B0609020204030204" pitchFamily="49" charset="0"/>
          </a:endParaRPr>
        </a:p>
        <a:p>
          <a:endParaRPr lang="en-US" sz="1200" b="1" baseline="0">
            <a:solidFill>
              <a:schemeClr val="lt1"/>
            </a:solidFill>
            <a:effectLst/>
            <a:latin typeface="Consolas" panose="020B0609020204030204" pitchFamily="49" charset="0"/>
            <a:ea typeface="+mn-ea"/>
            <a:cs typeface="+mn-cs"/>
          </a:endParaRPr>
        </a:p>
        <a:p>
          <a:endParaRPr lang="en-US" sz="1200" b="1" baseline="0">
            <a:solidFill>
              <a:schemeClr val="lt1"/>
            </a:solidFill>
            <a:effectLst/>
            <a:latin typeface="Consolas" panose="020B0609020204030204" pitchFamily="49" charset="0"/>
            <a:ea typeface="+mn-ea"/>
            <a:cs typeface="+mn-cs"/>
          </a:endParaRPr>
        </a:p>
        <a:p>
          <a:endParaRPr lang="en-US" sz="1200" b="1" baseline="0">
            <a:solidFill>
              <a:schemeClr val="lt1"/>
            </a:solidFill>
            <a:effectLst/>
            <a:latin typeface="Consolas" panose="020B0609020204030204" pitchFamily="49" charset="0"/>
            <a:ea typeface="+mn-ea"/>
            <a:cs typeface="+mn-cs"/>
          </a:endParaRPr>
        </a:p>
        <a:p>
          <a:endParaRPr lang="en-US" sz="1200" b="1" baseline="0">
            <a:solidFill>
              <a:schemeClr val="lt1"/>
            </a:solidFill>
            <a:effectLst/>
            <a:latin typeface="Consolas" panose="020B0609020204030204" pitchFamily="49" charset="0"/>
            <a:ea typeface="+mn-ea"/>
            <a:cs typeface="+mn-cs"/>
          </a:endParaRPr>
        </a:p>
        <a:p>
          <a:endParaRPr lang="en-US" sz="1200" b="1" baseline="0">
            <a:solidFill>
              <a:schemeClr val="lt1"/>
            </a:solidFill>
            <a:effectLst/>
            <a:latin typeface="Consolas" panose="020B0609020204030204" pitchFamily="49" charset="0"/>
            <a:ea typeface="+mn-ea"/>
            <a:cs typeface="+mn-cs"/>
          </a:endParaRPr>
        </a:p>
        <a:p>
          <a:endParaRPr lang="en-US" sz="1200" b="1" baseline="0">
            <a:solidFill>
              <a:schemeClr val="lt1"/>
            </a:solidFill>
            <a:effectLst/>
            <a:latin typeface="Consolas" panose="020B0609020204030204" pitchFamily="49" charset="0"/>
            <a:ea typeface="+mn-ea"/>
            <a:cs typeface="+mn-cs"/>
          </a:endParaRPr>
        </a:p>
        <a:p>
          <a:endParaRPr lang="en-US" sz="1200" b="1" baseline="0">
            <a:solidFill>
              <a:schemeClr val="lt1"/>
            </a:solidFill>
            <a:effectLst/>
            <a:latin typeface="Consolas" panose="020B0609020204030204" pitchFamily="49" charset="0"/>
            <a:ea typeface="+mn-ea"/>
            <a:cs typeface="+mn-cs"/>
          </a:endParaRPr>
        </a:p>
        <a:p>
          <a:endParaRPr lang="en-US" sz="1200" b="1" baseline="0">
            <a:solidFill>
              <a:schemeClr val="lt1"/>
            </a:solidFill>
            <a:effectLst/>
            <a:latin typeface="Consolas" panose="020B0609020204030204" pitchFamily="49" charset="0"/>
            <a:ea typeface="+mn-ea"/>
            <a:cs typeface="+mn-cs"/>
          </a:endParaRPr>
        </a:p>
        <a:p>
          <a:endParaRPr lang="en-US" sz="1200" b="1" baseline="0">
            <a:solidFill>
              <a:schemeClr val="lt1"/>
            </a:solidFill>
            <a:effectLst/>
            <a:latin typeface="Consolas" panose="020B0609020204030204" pitchFamily="49" charset="0"/>
            <a:ea typeface="+mn-ea"/>
            <a:cs typeface="+mn-cs"/>
          </a:endParaRPr>
        </a:p>
        <a:p>
          <a:endParaRPr lang="en-US" sz="1200" b="1" baseline="0">
            <a:solidFill>
              <a:schemeClr val="lt1"/>
            </a:solidFill>
            <a:effectLst/>
            <a:latin typeface="Consolas" panose="020B0609020204030204" pitchFamily="49" charset="0"/>
            <a:ea typeface="+mn-ea"/>
            <a:cs typeface="+mn-cs"/>
          </a:endParaRPr>
        </a:p>
        <a:p>
          <a:endParaRPr lang="en-US" sz="1200" b="1" baseline="0">
            <a:solidFill>
              <a:schemeClr val="lt1"/>
            </a:solidFill>
            <a:effectLst/>
            <a:latin typeface="Consolas" panose="020B0609020204030204" pitchFamily="49" charset="0"/>
            <a:ea typeface="+mn-ea"/>
            <a:cs typeface="+mn-cs"/>
          </a:endParaRPr>
        </a:p>
        <a:p>
          <a:pPr algn="l"/>
          <a:endParaRPr lang="en-US" sz="1400" b="0">
            <a:latin typeface="Consolas" panose="020B0609020204030204" pitchFamily="49"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e" refreshedDate="46094.386782638889" createdVersion="8" refreshedVersion="8" minRefreshableVersion="3" recordCount="367" xr:uid="{C80D87C7-4799-44E9-A855-9F30F64A6EE6}">
  <cacheSource type="worksheet">
    <worksheetSource name="Table5"/>
  </cacheSource>
  <cacheFields count="15">
    <cacheField name="Loan_ID" numFmtId="0">
      <sharedItems count="367">
        <s v="LP001015"/>
        <s v="LP001022"/>
        <s v="LP001031"/>
        <s v="LP001035"/>
        <s v="LP001051"/>
        <s v="LP001054"/>
        <s v="LP001055"/>
        <s v="LP001056"/>
        <s v="LP001059"/>
        <s v="LP001067"/>
        <s v="LP001078"/>
        <s v="LP001082"/>
        <s v="LP001083"/>
        <s v="LP001094"/>
        <s v="LP001096"/>
        <s v="LP001099"/>
        <s v="LP001105"/>
        <s v="LP001107"/>
        <s v="LP001108"/>
        <s v="LP001115"/>
        <s v="LP001121"/>
        <s v="LP001124"/>
        <s v="LP001128"/>
        <s v="LP001135"/>
        <s v="LP001149"/>
        <s v="LP001153"/>
        <s v="LP001163"/>
        <s v="LP001169"/>
        <s v="LP001174"/>
        <s v="LP001176"/>
        <s v="LP001177"/>
        <s v="LP001183"/>
        <s v="LP001185"/>
        <s v="LP001187"/>
        <s v="LP001190"/>
        <s v="LP001203"/>
        <s v="LP001208"/>
        <s v="LP001210"/>
        <s v="LP001211"/>
        <s v="LP001219"/>
        <s v="LP001220"/>
        <s v="LP001221"/>
        <s v="LP001226"/>
        <s v="LP001230"/>
        <s v="LP001231"/>
        <s v="LP001232"/>
        <s v="LP001237"/>
        <s v="LP001242"/>
        <s v="LP001268"/>
        <s v="LP001270"/>
        <s v="LP001284"/>
        <s v="LP001287"/>
        <s v="LP001291"/>
        <s v="LP001298"/>
        <s v="LP001312"/>
        <s v="LP001313"/>
        <s v="LP001317"/>
        <s v="LP001321"/>
        <s v="LP001323"/>
        <s v="LP001324"/>
        <s v="LP001332"/>
        <s v="LP001335"/>
        <s v="LP001338"/>
        <s v="LP001347"/>
        <s v="LP001348"/>
        <s v="LP001351"/>
        <s v="LP001352"/>
        <s v="LP001358"/>
        <s v="LP001359"/>
        <s v="LP001361"/>
        <s v="LP001366"/>
        <s v="LP001368"/>
        <s v="LP001375"/>
        <s v="LP001380"/>
        <s v="LP001386"/>
        <s v="LP001400"/>
        <s v="LP001407"/>
        <s v="LP001413"/>
        <s v="LP001415"/>
        <s v="LP001419"/>
        <s v="LP001420"/>
        <s v="LP001428"/>
        <s v="LP001445"/>
        <s v="LP001446"/>
        <s v="LP001450"/>
        <s v="LP001452"/>
        <s v="LP001455"/>
        <s v="LP001466"/>
        <s v="LP001471"/>
        <s v="LP001472"/>
        <s v="LP001475"/>
        <s v="LP001483"/>
        <s v="LP001486"/>
        <s v="LP001490"/>
        <s v="LP001496"/>
        <s v="LP001499"/>
        <s v="LP001500"/>
        <s v="LP001501"/>
        <s v="LP001517"/>
        <s v="LP001527"/>
        <s v="LP001534"/>
        <s v="LP001542"/>
        <s v="LP001547"/>
        <s v="LP001548"/>
        <s v="LP001558"/>
        <s v="LP001561"/>
        <s v="LP001563"/>
        <s v="LP001567"/>
        <s v="LP001568"/>
        <s v="LP001573"/>
        <s v="LP001584"/>
        <s v="LP001587"/>
        <s v="LP001589"/>
        <s v="LP001591"/>
        <s v="LP001599"/>
        <s v="LP001601"/>
        <s v="LP001607"/>
        <s v="LP001611"/>
        <s v="LP001613"/>
        <s v="LP001622"/>
        <s v="LP001627"/>
        <s v="LP001650"/>
        <s v="LP001651"/>
        <s v="LP001652"/>
        <s v="LP001655"/>
        <s v="LP001660"/>
        <s v="LP001662"/>
        <s v="LP001663"/>
        <s v="LP001667"/>
        <s v="LP001695"/>
        <s v="LP001703"/>
        <s v="LP001718"/>
        <s v="LP001728"/>
        <s v="LP001735"/>
        <s v="LP001737"/>
        <s v="LP001739"/>
        <s v="LP001742"/>
        <s v="LP001757"/>
        <s v="LP001769"/>
        <s v="LP001771"/>
        <s v="LP001785"/>
        <s v="LP001787"/>
        <s v="LP001789"/>
        <s v="LP001791"/>
        <s v="LP001794"/>
        <s v="LP001797"/>
        <s v="LP001815"/>
        <s v="LP001817"/>
        <s v="LP001818"/>
        <s v="LP001822"/>
        <s v="LP001827"/>
        <s v="LP001831"/>
        <s v="LP001842"/>
        <s v="LP001853"/>
        <s v="LP001855"/>
        <s v="LP001857"/>
        <s v="LP001862"/>
        <s v="LP001867"/>
        <s v="LP001878"/>
        <s v="LP001881"/>
        <s v="LP001886"/>
        <s v="LP001906"/>
        <s v="LP001909"/>
        <s v="LP001911"/>
        <s v="LP001921"/>
        <s v="LP001923"/>
        <s v="LP001933"/>
        <s v="LP001943"/>
        <s v="LP001950"/>
        <s v="LP001959"/>
        <s v="LP001961"/>
        <s v="LP001973"/>
        <s v="LP001975"/>
        <s v="LP001979"/>
        <s v="LP001995"/>
        <s v="LP001999"/>
        <s v="LP002007"/>
        <s v="LP002009"/>
        <s v="LP002016"/>
        <s v="LP002017"/>
        <s v="LP002018"/>
        <s v="LP002027"/>
        <s v="LP002028"/>
        <s v="LP002042"/>
        <s v="LP002045"/>
        <s v="LP002046"/>
        <s v="LP002047"/>
        <s v="LP002056"/>
        <s v="LP002057"/>
        <s v="LP002059"/>
        <s v="LP002062"/>
        <s v="LP002064"/>
        <s v="LP002069"/>
        <s v="LP002070"/>
        <s v="LP002077"/>
        <s v="LP002083"/>
        <s v="LP002090"/>
        <s v="LP002096"/>
        <s v="LP002099"/>
        <s v="LP002102"/>
        <s v="LP002105"/>
        <s v="LP002107"/>
        <s v="LP002111"/>
        <s v="LP002117"/>
        <s v="LP002118"/>
        <s v="LP002123"/>
        <s v="LP002125"/>
        <s v="LP002148"/>
        <s v="LP002152"/>
        <s v="LP002165"/>
        <s v="LP002167"/>
        <s v="LP002168"/>
        <s v="LP002172"/>
        <s v="LP002176"/>
        <s v="LP002183"/>
        <s v="LP002184"/>
        <s v="LP002186"/>
        <s v="LP002192"/>
        <s v="LP002195"/>
        <s v="LP002208"/>
        <s v="LP002212"/>
        <s v="LP002240"/>
        <s v="LP002245"/>
        <s v="LP002253"/>
        <s v="LP002256"/>
        <s v="LP002257"/>
        <s v="LP002264"/>
        <s v="LP002270"/>
        <s v="LP002279"/>
        <s v="LP002286"/>
        <s v="LP002294"/>
        <s v="LP002298"/>
        <s v="LP002306"/>
        <s v="LP002310"/>
        <s v="LP002311"/>
        <s v="LP002316"/>
        <s v="LP002321"/>
        <s v="LP002325"/>
        <s v="LP002326"/>
        <s v="LP002329"/>
        <s v="LP002333"/>
        <s v="LP002339"/>
        <s v="LP002344"/>
        <s v="LP002346"/>
        <s v="LP002354"/>
        <s v="LP002355"/>
        <s v="LP002358"/>
        <s v="LP002360"/>
        <s v="LP002375"/>
        <s v="LP002376"/>
        <s v="LP002383"/>
        <s v="LP002385"/>
        <s v="LP002389"/>
        <s v="LP002394"/>
        <s v="LP002397"/>
        <s v="LP002399"/>
        <s v="LP002400"/>
        <s v="LP002402"/>
        <s v="LP002412"/>
        <s v="LP002415"/>
        <s v="LP002417"/>
        <s v="LP002420"/>
        <s v="LP002425"/>
        <s v="LP002433"/>
        <s v="LP002440"/>
        <s v="LP002441"/>
        <s v="LP002442"/>
        <s v="LP002445"/>
        <s v="LP002450"/>
        <s v="LP002471"/>
        <s v="LP002476"/>
        <s v="LP002482"/>
        <s v="LP002485"/>
        <s v="LP002495"/>
        <s v="LP002496"/>
        <s v="LP002523"/>
        <s v="LP002542"/>
        <s v="LP002550"/>
        <s v="LP002551"/>
        <s v="LP002553"/>
        <s v="LP002554"/>
        <s v="LP002561"/>
        <s v="LP002566"/>
        <s v="LP002568"/>
        <s v="LP002570"/>
        <s v="LP002572"/>
        <s v="LP002581"/>
        <s v="LP002584"/>
        <s v="LP002592"/>
        <s v="LP002593"/>
        <s v="LP002599"/>
        <s v="LP002604"/>
        <s v="LP002605"/>
        <s v="LP002609"/>
        <s v="LP002610"/>
        <s v="LP002612"/>
        <s v="LP002614"/>
        <s v="LP002630"/>
        <s v="LP002635"/>
        <s v="LP002639"/>
        <s v="LP002644"/>
        <s v="LP002651"/>
        <s v="LP002654"/>
        <s v="LP002657"/>
        <s v="LP002711"/>
        <s v="LP002712"/>
        <s v="LP002721"/>
        <s v="LP002735"/>
        <s v="LP002744"/>
        <s v="LP002745"/>
        <s v="LP002746"/>
        <s v="LP002747"/>
        <s v="LP002754"/>
        <s v="LP002759"/>
        <s v="LP002760"/>
        <s v="LP002766"/>
        <s v="LP002769"/>
        <s v="LP002774"/>
        <s v="LP002775"/>
        <s v="LP002781"/>
        <s v="LP002782"/>
        <s v="LP002786"/>
        <s v="LP002790"/>
        <s v="LP002791"/>
        <s v="LP002793"/>
        <s v="LP002802"/>
        <s v="LP002803"/>
        <s v="LP002805"/>
        <s v="LP002806"/>
        <s v="LP002816"/>
        <s v="LP002823"/>
        <s v="LP002825"/>
        <s v="LP002826"/>
        <s v="LP002843"/>
        <s v="LP002849"/>
        <s v="LP002850"/>
        <s v="LP002853"/>
        <s v="LP002856"/>
        <s v="LP002857"/>
        <s v="LP002858"/>
        <s v="LP002860"/>
        <s v="LP002867"/>
        <s v="LP002869"/>
        <s v="LP002870"/>
        <s v="LP002876"/>
        <s v="LP002878"/>
        <s v="LP002879"/>
        <s v="LP002885"/>
        <s v="LP002890"/>
        <s v="LP002891"/>
        <s v="LP002899"/>
        <s v="LP002901"/>
        <s v="LP002907"/>
        <s v="LP002920"/>
        <s v="LP002921"/>
        <s v="LP002932"/>
        <s v="LP002935"/>
        <s v="LP002952"/>
        <s v="LP002954"/>
        <s v="LP002962"/>
        <s v="LP002965"/>
        <s v="LP002969"/>
        <s v="LP002971"/>
        <s v="LP002975"/>
        <s v="LP002980"/>
        <s v="LP002986"/>
        <s v="LP002989"/>
      </sharedItems>
    </cacheField>
    <cacheField name="Gender" numFmtId="0">
      <sharedItems containsBlank="1" count="3">
        <s v="Male"/>
        <s v="Female"/>
        <m/>
      </sharedItems>
    </cacheField>
    <cacheField name="Married" numFmtId="0">
      <sharedItems count="2">
        <s v="Yes"/>
        <s v="No"/>
      </sharedItems>
    </cacheField>
    <cacheField name="Dependents" numFmtId="0">
      <sharedItems count="21">
        <s v="0"/>
        <s v="1"/>
        <s v="3+"/>
        <s v="2"/>
        <s v=""/>
        <s v="3"/>
        <s v="4"/>
        <s v="5"/>
        <s v="6"/>
        <s v="7"/>
        <s v="8"/>
        <s v="9"/>
        <s v="10"/>
        <s v="11"/>
        <s v="12"/>
        <s v="13"/>
        <s v="14"/>
        <s v="15"/>
        <s v="16"/>
        <s v="17"/>
        <s v="18"/>
      </sharedItems>
    </cacheField>
    <cacheField name="Education" numFmtId="0">
      <sharedItems count="2">
        <s v="Graduate"/>
        <s v="Not Graduate"/>
      </sharedItems>
    </cacheField>
    <cacheField name="Self_Employed" numFmtId="0">
      <sharedItems containsBlank="1" count="3">
        <s v="No"/>
        <s v="Yes"/>
        <m/>
      </sharedItems>
    </cacheField>
    <cacheField name="ApplicantIncome" numFmtId="0">
      <sharedItems containsSemiMixedTypes="0" containsString="0" containsNumber="1" containsInteger="1" minValue="0" maxValue="72529" count="314">
        <n v="5720"/>
        <n v="3076"/>
        <n v="5000"/>
        <n v="2340"/>
        <n v="3276"/>
        <n v="2165"/>
        <n v="2226"/>
        <n v="3881"/>
        <n v="13633"/>
        <n v="2400"/>
        <n v="3091"/>
        <n v="2185"/>
        <n v="4166"/>
        <n v="12173"/>
        <n v="4666"/>
        <n v="5667"/>
        <n v="4583"/>
        <n v="3786"/>
        <n v="9226"/>
        <n v="1300"/>
        <n v="1888"/>
        <n v="2083"/>
        <n v="3909"/>
        <n v="3765"/>
        <n v="5400"/>
        <n v="0"/>
        <n v="4363"/>
        <n v="7500"/>
        <n v="3772"/>
        <n v="2942"/>
        <n v="2478"/>
        <n v="6250"/>
        <n v="3268"/>
        <n v="2783"/>
        <n v="2740"/>
        <n v="3150"/>
        <n v="7350"/>
        <n v="2267"/>
        <n v="5833"/>
        <n v="3643"/>
        <n v="5629"/>
        <n v="3644"/>
        <n v="1750"/>
        <n v="6500"/>
        <n v="3666"/>
        <n v="4260"/>
        <n v="4163"/>
        <n v="2356"/>
        <n v="6792"/>
        <n v="8000"/>
        <n v="2419"/>
        <n v="3500"/>
        <n v="4116"/>
        <n v="5293"/>
        <n v="2750"/>
        <n v="4402"/>
        <n v="3613"/>
        <n v="2779"/>
        <n v="4720"/>
        <n v="2415"/>
        <n v="7016"/>
        <n v="4968"/>
        <n v="2101"/>
        <n v="4490"/>
        <n v="2917"/>
        <n v="4700"/>
        <n v="3445"/>
        <n v="7666"/>
        <n v="2458"/>
        <n v="3250"/>
        <n v="4463"/>
        <n v="4083"/>
        <n v="3900"/>
        <n v="4750"/>
        <n v="3583"/>
        <n v="3189"/>
        <n v="6356"/>
        <n v="3413"/>
        <n v="7950"/>
        <n v="3829"/>
        <n v="72529"/>
        <n v="4136"/>
        <n v="8449"/>
        <n v="4456"/>
        <n v="4635"/>
        <n v="3571"/>
        <n v="3066"/>
        <n v="3235"/>
        <n v="5058"/>
        <n v="3188"/>
        <n v="13518"/>
        <n v="4364"/>
        <n v="4766"/>
        <n v="4609"/>
        <n v="6260"/>
        <n v="3333"/>
        <n v="9719"/>
        <n v="6835"/>
        <n v="4452"/>
        <n v="2262"/>
        <n v="3901"/>
        <n v="2687"/>
        <n v="2243"/>
        <n v="3417"/>
        <n v="1596"/>
        <n v="4513"/>
        <n v="4500"/>
        <n v="4523"/>
        <n v="4742"/>
        <n v="4082"/>
        <n v="2922"/>
        <n v="4167"/>
        <n v="4243"/>
        <n v="1516"/>
        <n v="1762"/>
        <n v="724"/>
        <n v="3125"/>
        <n v="2333"/>
        <n v="3350"/>
        <n v="2500"/>
        <n v="12500"/>
        <n v="4667"/>
        <n v="3073"/>
        <n v="3321"/>
        <n v="3391"/>
        <n v="3343"/>
        <n v="3620"/>
        <n v="4000"/>
        <n v="4258"/>
        <n v="2014"/>
        <n v="4727"/>
        <n v="3089"/>
        <n v="6794"/>
        <n v="32000"/>
        <n v="10890"/>
        <n v="12941"/>
        <n v="8703"/>
        <n v="5900"/>
        <n v="3071"/>
        <n v="2463"/>
        <n v="4855"/>
        <n v="1599"/>
        <n v="4246"/>
        <n v="4333"/>
        <n v="5823"/>
        <n v="7895"/>
        <n v="4150"/>
        <n v="2964"/>
        <n v="5583"/>
        <n v="2708"/>
        <n v="3180"/>
        <n v="2268"/>
        <n v="1141"/>
        <n v="3042"/>
        <n v="3564"/>
        <n v="3958"/>
        <n v="4483"/>
        <n v="5225"/>
        <n v="3017"/>
        <n v="2431"/>
        <n v="4912"/>
        <n v="2918"/>
        <n v="5128"/>
        <n v="15312"/>
        <n v="4334"/>
        <n v="4358"/>
        <n v="10166"/>
        <n v="4521"/>
        <n v="9167"/>
        <n v="13083"/>
        <n v="7874"/>
        <n v="3785"/>
        <n v="2654"/>
        <n v="10000"/>
        <n v="4796"/>
        <n v="2000"/>
        <n v="2540"/>
        <n v="1900"/>
        <n v="8706"/>
        <n v="2855"/>
        <n v="3016"/>
        <n v="3159"/>
        <n v="1937"/>
        <n v="2613"/>
        <n v="4960"/>
        <n v="3074"/>
        <n v="4213"/>
        <n v="2038"/>
        <n v="2362"/>
        <n v="5333"/>
        <n v="5384"/>
        <n v="5708"/>
        <n v="3754"/>
        <n v="2914"/>
        <n v="2747"/>
        <n v="7830"/>
        <n v="3507"/>
        <n v="3747"/>
        <n v="2166"/>
        <n v="2896"/>
        <n v="5062"/>
        <n v="5184"/>
        <n v="2545"/>
        <n v="2553"/>
        <n v="3436"/>
        <n v="2412"/>
        <n v="5180"/>
        <n v="14911"/>
        <n v="2860"/>
        <n v="1173"/>
        <n v="7600"/>
        <n v="2157"/>
        <n v="2231"/>
        <n v="2274"/>
        <n v="6166"/>
        <n v="2513"/>
        <n v="3844"/>
        <n v="3887"/>
        <n v="3510"/>
        <n v="2539"/>
        <n v="2107"/>
        <n v="3186"/>
        <n v="3943"/>
        <n v="2925"/>
        <n v="3242"/>
        <n v="3863"/>
        <n v="4028"/>
        <n v="4010"/>
        <n v="3719"/>
        <n v="2858"/>
        <n v="3833"/>
        <n v="3007"/>
        <n v="1850"/>
        <n v="2792"/>
        <n v="2982"/>
        <n v="18840"/>
        <n v="2995"/>
        <n v="3579"/>
        <n v="3835"/>
        <n v="3854"/>
        <n v="3508"/>
        <n v="1635"/>
        <n v="24797"/>
        <n v="2773"/>
        <n v="5769"/>
        <n v="3634"/>
        <n v="29167"/>
        <n v="5530"/>
        <n v="9000"/>
        <n v="8750"/>
        <n v="1972"/>
        <n v="4983"/>
        <n v="8333"/>
        <n v="3667"/>
        <n v="3166"/>
        <n v="3271"/>
        <n v="2241"/>
        <n v="1792"/>
        <n v="2666"/>
        <n v="6478"/>
        <n v="3808"/>
        <n v="3729"/>
        <n v="4120"/>
        <n v="6300"/>
        <n v="14987"/>
        <n v="570"/>
        <n v="2600"/>
        <n v="2733"/>
        <n v="3859"/>
        <n v="6825"/>
        <n v="3708"/>
        <n v="5314"/>
        <n v="2366"/>
        <n v="2066"/>
        <n v="3767"/>
        <n v="7859"/>
        <n v="4283"/>
        <n v="1700"/>
        <n v="4768"/>
        <n v="3083"/>
        <n v="2667"/>
        <n v="1647"/>
        <n v="3400"/>
        <n v="16000"/>
        <n v="2875"/>
        <n v="5041"/>
        <n v="6958"/>
        <n v="5509"/>
        <n v="9699"/>
        <n v="3621"/>
        <n v="4709"/>
        <n v="3015"/>
        <n v="2292"/>
        <n v="2360"/>
        <n v="2623"/>
        <n v="3972"/>
        <n v="3522"/>
        <n v="6858"/>
        <n v="8334"/>
        <n v="2868"/>
        <n v="3418"/>
        <n v="8667"/>
        <n v="2283"/>
        <n v="5817"/>
        <n v="5119"/>
        <n v="5316"/>
        <n v="7603"/>
        <n v="3791"/>
        <n v="3132"/>
        <n v="8550"/>
        <n v="2269"/>
        <n v="4009"/>
        <n v="4158"/>
        <n v="9200"/>
      </sharedItems>
      <fieldGroup base="6">
        <rangePr autoEnd="0" startNum="0" endNum="80000" groupInterval="10000"/>
        <groupItems count="10">
          <s v="&lt;0"/>
          <s v="0-9999"/>
          <s v="10000-19999"/>
          <s v="20000-29999"/>
          <s v="30000-39999"/>
          <s v="40000-49999"/>
          <s v="50000-59999"/>
          <s v="60000-69999"/>
          <s v="70000-80000"/>
          <s v="&gt;80000"/>
        </groupItems>
      </fieldGroup>
    </cacheField>
    <cacheField name="CoapplicantIncome" numFmtId="0">
      <sharedItems containsSemiMixedTypes="0" containsString="0" containsNumber="1" containsInteger="1" minValue="0" maxValue="24000"/>
    </cacheField>
    <cacheField name="LoanAmount" numFmtId="0">
      <sharedItems containsString="0" containsBlank="1" containsNumber="1" containsInteger="1" minValue="28" maxValue="550"/>
    </cacheField>
    <cacheField name="Loan_Amount_Term" numFmtId="0">
      <sharedItems containsString="0" containsBlank="1" containsNumber="1" containsInteger="1" minValue="6" maxValue="480"/>
    </cacheField>
    <cacheField name="Credit_History" numFmtId="0">
      <sharedItems containsString="0" containsBlank="1" containsNumber="1" containsInteger="1" minValue="0" maxValue="1" count="3">
        <n v="1"/>
        <m/>
        <n v="0"/>
      </sharedItems>
    </cacheField>
    <cacheField name="Property_Area" numFmtId="0">
      <sharedItems/>
    </cacheField>
    <cacheField name="Loan_Status" numFmtId="0">
      <sharedItems count="2">
        <s v="Approved"/>
        <s v="Rejected"/>
      </sharedItems>
    </cacheField>
    <cacheField name="Total Income" numFmtId="0">
      <sharedItems containsSemiMixedTypes="0" containsString="0" containsNumber="1" containsInteger="1" minValue="1760" maxValue="72529" count="348">
        <n v="5720"/>
        <n v="4576"/>
        <n v="6800"/>
        <n v="4886"/>
        <n v="3276"/>
        <n v="5587"/>
        <n v="2226"/>
        <n v="3881"/>
        <n v="13633"/>
        <n v="4800"/>
        <n v="3091"/>
        <n v="3701"/>
        <n v="4166"/>
        <n v="12173"/>
        <n v="4666"/>
        <n v="5667"/>
        <n v="7499"/>
        <n v="4119"/>
        <n v="17142"/>
        <n v="4770"/>
        <n v="3508"/>
        <n v="2083"/>
        <n v="3909"/>
        <n v="3765"/>
        <n v="9780"/>
        <n v="24000"/>
        <n v="5613"/>
        <n v="11250"/>
        <n v="4605"/>
        <n v="5324"/>
        <n v="2478"/>
        <n v="7070"/>
        <n v="4951"/>
        <n v="5491"/>
        <n v="4281"/>
        <n v="3150"/>
        <n v="11379"/>
        <n v="5059"/>
        <n v="5833"/>
        <n v="5606"/>
        <n v="6447"/>
        <n v="3644"/>
        <n v="3774"/>
        <n v="9100"/>
        <n v="3666"/>
        <n v="8160"/>
        <n v="5638"/>
        <n v="4258"/>
        <n v="10130"/>
        <n v="8250"/>
        <n v="4126"/>
        <n v="4333"/>
        <n v="6577"/>
        <n v="5116"/>
        <n v="5293"/>
        <n v="2750"/>
        <n v="4402"/>
        <n v="7152"/>
        <n v="6443"/>
        <n v="4720"/>
        <n v="4136"/>
        <n v="7308"/>
        <n v="4968"/>
        <n v="3601"/>
        <n v="4490"/>
        <n v="6500"/>
        <n v="4700"/>
        <n v="3445"/>
        <n v="7666"/>
        <n v="7563"/>
        <n v="3250"/>
        <n v="4463"/>
        <n v="5858"/>
        <n v="5994"/>
        <n v="8333"/>
        <n v="7018"/>
        <n v="5556"/>
        <n v="6356"/>
        <n v="7466"/>
        <n v="7950"/>
        <n v="4932"/>
        <n v="72529"/>
        <n v="8449"/>
        <n v="4456"/>
        <n v="12635"/>
        <n v="5488"/>
        <n v="3066"/>
        <n v="5250"/>
        <n v="5058"/>
        <n v="5474"/>
        <n v="13518"/>
        <n v="6864"/>
        <n v="6412"/>
        <n v="6942"/>
        <n v="6260"/>
        <n v="7533"/>
        <n v="6750"/>
        <n v="9719"/>
        <n v="6835"/>
        <n v="4452"/>
        <n v="2262"/>
        <n v="3901"/>
        <n v="2687"/>
        <n v="4476"/>
        <n v="4704"/>
        <n v="3356"/>
        <n v="4513"/>
        <n v="4500"/>
        <n v="5873"/>
        <n v="4742"/>
        <n v="4082"/>
        <n v="3417"/>
        <n v="6318"/>
        <n v="8921"/>
        <n v="8366"/>
        <n v="1760"/>
        <n v="4416"/>
        <n v="4428"/>
        <n v="4234"/>
        <n v="3125"/>
        <n v="6136"/>
        <n v="4910"/>
        <n v="8914"/>
        <n v="12500"/>
        <n v="4667"/>
        <n v="7500"/>
        <n v="3073"/>
        <n v="5409"/>
        <n v="4603"/>
        <n v="3391"/>
        <n v="4860"/>
        <n v="3620"/>
        <n v="4000"/>
        <n v="4939"/>
        <n v="4583"/>
        <n v="4083"/>
        <n v="4727"/>
        <n v="6088"/>
        <n v="7322"/>
        <n v="32000"/>
        <n v="10890"/>
        <n v="12941"/>
        <n v="8703"/>
        <n v="5459"/>
        <n v="5900"/>
        <n v="7380"/>
        <n v="4239"/>
        <n v="5000"/>
        <n v="4823"/>
        <n v="4855"/>
        <n v="4073"/>
        <n v="8492"/>
        <n v="6624"/>
        <n v="8352"/>
        <n v="7895"/>
        <n v="8406"/>
        <n v="2964"/>
        <n v="5583"/>
        <n v="2708"/>
        <n v="5550"/>
        <n v="2268"/>
        <n v="3158"/>
        <n v="6209"/>
        <n v="4685"/>
        <n v="3564"/>
        <n v="3958"/>
        <n v="4483"/>
        <n v="5225"/>
        <n v="5862"/>
        <n v="4251"/>
        <n v="9526"/>
        <n v="2918"/>
        <n v="5128"/>
        <n v="15312"/>
        <n v="6590"/>
        <n v="7279"/>
        <n v="4358"/>
        <n v="7917"/>
        <n v="10916"/>
        <n v="5705"/>
        <n v="9167"/>
        <n v="13083"/>
        <n v="11841"/>
        <n v="6697"/>
        <n v="4652"/>
        <n v="12690"/>
        <n v="4796"/>
        <n v="3600"/>
        <n v="3240"/>
        <n v="3342"/>
        <n v="8706"/>
        <n v="3397"/>
        <n v="4316"/>
        <n v="5533"/>
        <n v="3089"/>
        <n v="5030"/>
        <n v="7560"/>
        <n v="4157"/>
        <n v="4213"/>
        <n v="6065"/>
        <n v="2362"/>
        <n v="7733"/>
        <n v="5384"/>
        <n v="5708"/>
        <n v="7473"/>
        <n v="5044"/>
        <n v="5205"/>
        <n v="10013"/>
        <n v="6655"/>
        <n v="5886"/>
        <n v="4332"/>
        <n v="5668"/>
        <n v="2896"/>
        <n v="5062"/>
        <n v="5184"/>
        <n v="2545"/>
        <n v="4321"/>
        <n v="7245"/>
        <n v="5167"/>
        <n v="5180"/>
        <n v="29418"/>
        <n v="5848"/>
        <n v="2767"/>
        <n v="7600"/>
        <n v="3945"/>
        <n v="5005"/>
        <n v="7485"/>
        <n v="20149"/>
        <n v="3623"/>
        <n v="3844"/>
        <n v="5404"/>
        <n v="4338"/>
        <n v="4243"/>
        <n v="2107"/>
        <n v="6331"/>
        <n v="7166"/>
        <n v="10000"/>
        <n v="3943"/>
        <n v="2925"/>
        <n v="3679"/>
        <n v="3863"/>
        <n v="4028"/>
        <n v="5035"/>
        <n v="5304"/>
        <n v="2858"/>
        <n v="3833"/>
        <n v="7621"/>
        <n v="6732"/>
        <n v="6433"/>
        <n v="5411"/>
        <n v="4532"/>
        <n v="4155"/>
        <n v="18840"/>
        <n v="4115"/>
        <n v="6887"/>
        <n v="5235"/>
        <n v="7429"/>
        <n v="6583"/>
        <n v="4079"/>
        <n v="7249"/>
        <n v="24797"/>
        <n v="6107"/>
        <n v="3500"/>
        <n v="4270"/>
        <n v="5769"/>
        <n v="4544"/>
        <n v="29167"/>
        <n v="4223"/>
        <n v="5530"/>
        <n v="9000"/>
        <n v="21666"/>
        <n v="8750"/>
        <n v="4887"/>
        <n v="6319"/>
        <n v="4983"/>
        <n v="12333"/>
        <n v="5999"/>
        <n v="3271"/>
        <n v="4241"/>
        <n v="4357"/>
        <n v="2666"/>
        <n v="6478"/>
        <n v="3808"/>
        <n v="3729"/>
        <n v="4120"/>
        <n v="6300"/>
        <n v="14987"/>
        <n v="2695"/>
        <n v="3300"/>
        <n v="3816"/>
        <n v="3859"/>
        <n v="6825"/>
        <n v="8408"/>
        <n v="5314"/>
        <n v="7638"/>
        <n v="4174"/>
        <n v="3767"/>
        <n v="8738"/>
        <n v="4283"/>
        <n v="4600"/>
        <n v="4768"/>
        <n v="5821"/>
        <n v="4209"/>
        <n v="3409"/>
        <n v="3400"/>
        <n v="21000"/>
        <n v="5333"/>
        <n v="5291"/>
        <n v="3218"/>
        <n v="5741"/>
        <n v="8369"/>
        <n v="5158"/>
        <n v="5509"/>
        <n v="9699"/>
        <n v="6338"/>
        <n v="4709"/>
        <n v="3467"/>
        <n v="2400"/>
        <n v="5015"/>
        <n v="3850"/>
        <n v="5715"/>
        <n v="6666"/>
        <n v="7454"/>
        <n v="8247"/>
        <n v="3522"/>
        <n v="6858"/>
        <n v="8334"/>
        <n v="5357"/>
        <n v="2868"/>
        <n v="4798"/>
        <n v="2796"/>
        <n v="8667"/>
        <n v="17283"/>
        <n v="6727"/>
        <n v="8888"/>
        <n v="5503"/>
        <n v="8816"/>
        <n v="5727"/>
        <n v="2500"/>
        <n v="3132"/>
        <n v="6667"/>
        <n v="12805"/>
        <n v="4436"/>
        <n v="5786"/>
        <n v="4867"/>
        <n v="5243"/>
        <n v="7393"/>
        <n v="9200"/>
      </sharedItems>
    </cacheField>
    <cacheField name="Aprproved_Value"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20356392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7">
  <r>
    <x v="0"/>
    <x v="0"/>
    <x v="0"/>
    <x v="0"/>
    <x v="0"/>
    <x v="0"/>
    <x v="0"/>
    <n v="0"/>
    <n v="110"/>
    <n v="360"/>
    <x v="0"/>
    <s v="Urban"/>
    <x v="0"/>
    <x v="0"/>
    <x v="0"/>
  </r>
  <r>
    <x v="1"/>
    <x v="0"/>
    <x v="0"/>
    <x v="0"/>
    <x v="0"/>
    <x v="0"/>
    <x v="1"/>
    <n v="1500"/>
    <n v="126"/>
    <n v="360"/>
    <x v="0"/>
    <s v="Urban"/>
    <x v="0"/>
    <x v="1"/>
    <x v="0"/>
  </r>
  <r>
    <x v="2"/>
    <x v="0"/>
    <x v="0"/>
    <x v="1"/>
    <x v="0"/>
    <x v="0"/>
    <x v="2"/>
    <n v="1800"/>
    <n v="208"/>
    <n v="360"/>
    <x v="0"/>
    <s v="Urban"/>
    <x v="1"/>
    <x v="2"/>
    <x v="1"/>
  </r>
  <r>
    <x v="3"/>
    <x v="0"/>
    <x v="0"/>
    <x v="2"/>
    <x v="0"/>
    <x v="0"/>
    <x v="3"/>
    <n v="2546"/>
    <n v="100"/>
    <n v="360"/>
    <x v="1"/>
    <s v="Urban"/>
    <x v="1"/>
    <x v="3"/>
    <x v="1"/>
  </r>
  <r>
    <x v="4"/>
    <x v="0"/>
    <x v="1"/>
    <x v="0"/>
    <x v="1"/>
    <x v="0"/>
    <x v="4"/>
    <n v="0"/>
    <n v="78"/>
    <n v="360"/>
    <x v="0"/>
    <s v="Urban"/>
    <x v="0"/>
    <x v="4"/>
    <x v="0"/>
  </r>
  <r>
    <x v="5"/>
    <x v="0"/>
    <x v="0"/>
    <x v="0"/>
    <x v="1"/>
    <x v="1"/>
    <x v="5"/>
    <n v="3422"/>
    <n v="152"/>
    <n v="360"/>
    <x v="0"/>
    <s v="Urban"/>
    <x v="1"/>
    <x v="5"/>
    <x v="1"/>
  </r>
  <r>
    <x v="6"/>
    <x v="1"/>
    <x v="1"/>
    <x v="0"/>
    <x v="1"/>
    <x v="0"/>
    <x v="6"/>
    <n v="0"/>
    <n v="59"/>
    <n v="360"/>
    <x v="0"/>
    <s v="Semiurban"/>
    <x v="1"/>
    <x v="6"/>
    <x v="1"/>
  </r>
  <r>
    <x v="7"/>
    <x v="0"/>
    <x v="0"/>
    <x v="0"/>
    <x v="1"/>
    <x v="0"/>
    <x v="7"/>
    <n v="0"/>
    <n v="147"/>
    <n v="360"/>
    <x v="2"/>
    <s v="Rural"/>
    <x v="1"/>
    <x v="7"/>
    <x v="1"/>
  </r>
  <r>
    <x v="8"/>
    <x v="0"/>
    <x v="0"/>
    <x v="3"/>
    <x v="0"/>
    <x v="2"/>
    <x v="8"/>
    <n v="0"/>
    <n v="280"/>
    <n v="240"/>
    <x v="0"/>
    <s v="Urban"/>
    <x v="1"/>
    <x v="8"/>
    <x v="1"/>
  </r>
  <r>
    <x v="9"/>
    <x v="0"/>
    <x v="1"/>
    <x v="0"/>
    <x v="1"/>
    <x v="0"/>
    <x v="9"/>
    <n v="2400"/>
    <n v="123"/>
    <n v="360"/>
    <x v="0"/>
    <s v="Semiurban"/>
    <x v="1"/>
    <x v="9"/>
    <x v="1"/>
  </r>
  <r>
    <x v="10"/>
    <x v="0"/>
    <x v="1"/>
    <x v="0"/>
    <x v="1"/>
    <x v="0"/>
    <x v="10"/>
    <n v="0"/>
    <n v="90"/>
    <n v="360"/>
    <x v="0"/>
    <s v="Urban"/>
    <x v="0"/>
    <x v="10"/>
    <x v="0"/>
  </r>
  <r>
    <x v="11"/>
    <x v="0"/>
    <x v="0"/>
    <x v="0"/>
    <x v="0"/>
    <x v="2"/>
    <x v="11"/>
    <n v="1516"/>
    <n v="162"/>
    <n v="360"/>
    <x v="0"/>
    <s v="Semiurban"/>
    <x v="1"/>
    <x v="11"/>
    <x v="1"/>
  </r>
  <r>
    <x v="12"/>
    <x v="0"/>
    <x v="1"/>
    <x v="0"/>
    <x v="0"/>
    <x v="0"/>
    <x v="12"/>
    <n v="0"/>
    <n v="40"/>
    <n v="180"/>
    <x v="1"/>
    <s v="Urban"/>
    <x v="1"/>
    <x v="12"/>
    <x v="1"/>
  </r>
  <r>
    <x v="13"/>
    <x v="0"/>
    <x v="0"/>
    <x v="3"/>
    <x v="0"/>
    <x v="2"/>
    <x v="13"/>
    <n v="0"/>
    <n v="166"/>
    <n v="360"/>
    <x v="2"/>
    <s v="Semiurban"/>
    <x v="1"/>
    <x v="13"/>
    <x v="1"/>
  </r>
  <r>
    <x v="14"/>
    <x v="1"/>
    <x v="1"/>
    <x v="0"/>
    <x v="0"/>
    <x v="0"/>
    <x v="14"/>
    <n v="0"/>
    <n v="124"/>
    <n v="360"/>
    <x v="0"/>
    <s v="Semiurban"/>
    <x v="0"/>
    <x v="14"/>
    <x v="0"/>
  </r>
  <r>
    <x v="15"/>
    <x v="0"/>
    <x v="1"/>
    <x v="0"/>
    <x v="0"/>
    <x v="0"/>
    <x v="15"/>
    <n v="0"/>
    <n v="131"/>
    <n v="360"/>
    <x v="0"/>
    <s v="Urban"/>
    <x v="0"/>
    <x v="15"/>
    <x v="0"/>
  </r>
  <r>
    <x v="16"/>
    <x v="0"/>
    <x v="0"/>
    <x v="0"/>
    <x v="0"/>
    <x v="0"/>
    <x v="16"/>
    <n v="2916"/>
    <n v="200"/>
    <n v="360"/>
    <x v="0"/>
    <s v="Urban"/>
    <x v="1"/>
    <x v="16"/>
    <x v="1"/>
  </r>
  <r>
    <x v="17"/>
    <x v="0"/>
    <x v="0"/>
    <x v="0"/>
    <x v="0"/>
    <x v="0"/>
    <x v="17"/>
    <n v="333"/>
    <n v="126"/>
    <n v="360"/>
    <x v="0"/>
    <s v="Semiurban"/>
    <x v="0"/>
    <x v="17"/>
    <x v="0"/>
  </r>
  <r>
    <x v="18"/>
    <x v="0"/>
    <x v="0"/>
    <x v="3"/>
    <x v="0"/>
    <x v="0"/>
    <x v="18"/>
    <n v="7916"/>
    <n v="300"/>
    <n v="360"/>
    <x v="0"/>
    <s v="Urban"/>
    <x v="1"/>
    <x v="18"/>
    <x v="1"/>
  </r>
  <r>
    <x v="19"/>
    <x v="0"/>
    <x v="1"/>
    <x v="0"/>
    <x v="0"/>
    <x v="0"/>
    <x v="19"/>
    <n v="3470"/>
    <n v="100"/>
    <n v="180"/>
    <x v="0"/>
    <s v="Semiurban"/>
    <x v="1"/>
    <x v="19"/>
    <x v="1"/>
  </r>
  <r>
    <x v="20"/>
    <x v="0"/>
    <x v="0"/>
    <x v="0"/>
    <x v="1"/>
    <x v="0"/>
    <x v="20"/>
    <n v="1620"/>
    <n v="48"/>
    <n v="360"/>
    <x v="0"/>
    <s v="Urban"/>
    <x v="1"/>
    <x v="20"/>
    <x v="1"/>
  </r>
  <r>
    <x v="21"/>
    <x v="1"/>
    <x v="1"/>
    <x v="0"/>
    <x v="1"/>
    <x v="0"/>
    <x v="21"/>
    <n v="0"/>
    <n v="28"/>
    <n v="180"/>
    <x v="0"/>
    <s v="Urban"/>
    <x v="1"/>
    <x v="21"/>
    <x v="1"/>
  </r>
  <r>
    <x v="22"/>
    <x v="2"/>
    <x v="1"/>
    <x v="0"/>
    <x v="0"/>
    <x v="0"/>
    <x v="22"/>
    <n v="0"/>
    <n v="101"/>
    <n v="360"/>
    <x v="0"/>
    <s v="Urban"/>
    <x v="0"/>
    <x v="22"/>
    <x v="0"/>
  </r>
  <r>
    <x v="23"/>
    <x v="1"/>
    <x v="1"/>
    <x v="0"/>
    <x v="1"/>
    <x v="0"/>
    <x v="23"/>
    <n v="0"/>
    <n v="125"/>
    <n v="360"/>
    <x v="0"/>
    <s v="Urban"/>
    <x v="0"/>
    <x v="23"/>
    <x v="0"/>
  </r>
  <r>
    <x v="24"/>
    <x v="0"/>
    <x v="0"/>
    <x v="0"/>
    <x v="0"/>
    <x v="0"/>
    <x v="24"/>
    <n v="4380"/>
    <n v="290"/>
    <n v="360"/>
    <x v="0"/>
    <s v="Urban"/>
    <x v="1"/>
    <x v="24"/>
    <x v="1"/>
  </r>
  <r>
    <x v="25"/>
    <x v="0"/>
    <x v="1"/>
    <x v="0"/>
    <x v="0"/>
    <x v="0"/>
    <x v="25"/>
    <n v="24000"/>
    <n v="148"/>
    <n v="360"/>
    <x v="2"/>
    <s v="Rural"/>
    <x v="1"/>
    <x v="25"/>
    <x v="1"/>
  </r>
  <r>
    <x v="26"/>
    <x v="0"/>
    <x v="0"/>
    <x v="0"/>
    <x v="0"/>
    <x v="0"/>
    <x v="26"/>
    <n v="1250"/>
    <n v="140"/>
    <n v="360"/>
    <x v="1"/>
    <s v="Urban"/>
    <x v="1"/>
    <x v="26"/>
    <x v="1"/>
  </r>
  <r>
    <x v="27"/>
    <x v="0"/>
    <x v="0"/>
    <x v="0"/>
    <x v="0"/>
    <x v="0"/>
    <x v="27"/>
    <n v="3750"/>
    <n v="275"/>
    <n v="360"/>
    <x v="0"/>
    <s v="Urban"/>
    <x v="1"/>
    <x v="27"/>
    <x v="1"/>
  </r>
  <r>
    <x v="28"/>
    <x v="0"/>
    <x v="0"/>
    <x v="4"/>
    <x v="0"/>
    <x v="0"/>
    <x v="28"/>
    <n v="833"/>
    <n v="57"/>
    <n v="360"/>
    <x v="1"/>
    <s v="Semiurban"/>
    <x v="1"/>
    <x v="28"/>
    <x v="1"/>
  </r>
  <r>
    <x v="29"/>
    <x v="0"/>
    <x v="1"/>
    <x v="0"/>
    <x v="0"/>
    <x v="0"/>
    <x v="29"/>
    <n v="2382"/>
    <n v="125"/>
    <n v="180"/>
    <x v="0"/>
    <s v="Urban"/>
    <x v="1"/>
    <x v="29"/>
    <x v="1"/>
  </r>
  <r>
    <x v="30"/>
    <x v="1"/>
    <x v="1"/>
    <x v="0"/>
    <x v="1"/>
    <x v="0"/>
    <x v="30"/>
    <n v="0"/>
    <n v="75"/>
    <n v="360"/>
    <x v="0"/>
    <s v="Semiurban"/>
    <x v="1"/>
    <x v="30"/>
    <x v="1"/>
  </r>
  <r>
    <x v="31"/>
    <x v="0"/>
    <x v="0"/>
    <x v="2"/>
    <x v="0"/>
    <x v="0"/>
    <x v="31"/>
    <n v="820"/>
    <n v="192"/>
    <n v="360"/>
    <x v="0"/>
    <s v="Urban"/>
    <x v="0"/>
    <x v="31"/>
    <x v="0"/>
  </r>
  <r>
    <x v="32"/>
    <x v="0"/>
    <x v="1"/>
    <x v="1"/>
    <x v="0"/>
    <x v="0"/>
    <x v="32"/>
    <n v="1683"/>
    <n v="152"/>
    <n v="360"/>
    <x v="0"/>
    <s v="Semiurban"/>
    <x v="0"/>
    <x v="32"/>
    <x v="0"/>
  </r>
  <r>
    <x v="33"/>
    <x v="0"/>
    <x v="0"/>
    <x v="2"/>
    <x v="0"/>
    <x v="0"/>
    <x v="33"/>
    <n v="2708"/>
    <n v="158"/>
    <n v="360"/>
    <x v="0"/>
    <s v="Urban"/>
    <x v="1"/>
    <x v="33"/>
    <x v="1"/>
  </r>
  <r>
    <x v="34"/>
    <x v="0"/>
    <x v="0"/>
    <x v="1"/>
    <x v="0"/>
    <x v="0"/>
    <x v="34"/>
    <n v="1541"/>
    <n v="101"/>
    <n v="360"/>
    <x v="0"/>
    <s v="Urban"/>
    <x v="1"/>
    <x v="34"/>
    <x v="1"/>
  </r>
  <r>
    <x v="35"/>
    <x v="0"/>
    <x v="1"/>
    <x v="3"/>
    <x v="0"/>
    <x v="0"/>
    <x v="35"/>
    <n v="0"/>
    <n v="176"/>
    <n v="360"/>
    <x v="2"/>
    <s v="Semiurban"/>
    <x v="1"/>
    <x v="35"/>
    <x v="1"/>
  </r>
  <r>
    <x v="36"/>
    <x v="0"/>
    <x v="0"/>
    <x v="0"/>
    <x v="0"/>
    <x v="2"/>
    <x v="36"/>
    <n v="4029"/>
    <n v="185"/>
    <n v="180"/>
    <x v="0"/>
    <s v="Urban"/>
    <x v="0"/>
    <x v="36"/>
    <x v="0"/>
  </r>
  <r>
    <x v="37"/>
    <x v="0"/>
    <x v="0"/>
    <x v="0"/>
    <x v="0"/>
    <x v="1"/>
    <x v="37"/>
    <n v="2792"/>
    <n v="90"/>
    <n v="360"/>
    <x v="0"/>
    <s v="Urban"/>
    <x v="1"/>
    <x v="37"/>
    <x v="1"/>
  </r>
  <r>
    <x v="38"/>
    <x v="0"/>
    <x v="1"/>
    <x v="0"/>
    <x v="0"/>
    <x v="1"/>
    <x v="38"/>
    <n v="0"/>
    <n v="116"/>
    <n v="360"/>
    <x v="0"/>
    <s v="Urban"/>
    <x v="0"/>
    <x v="38"/>
    <x v="0"/>
  </r>
  <r>
    <x v="39"/>
    <x v="0"/>
    <x v="1"/>
    <x v="3"/>
    <x v="0"/>
    <x v="0"/>
    <x v="39"/>
    <n v="1963"/>
    <n v="138"/>
    <n v="360"/>
    <x v="0"/>
    <s v="Urban"/>
    <x v="0"/>
    <x v="39"/>
    <x v="0"/>
  </r>
  <r>
    <x v="40"/>
    <x v="0"/>
    <x v="0"/>
    <x v="3"/>
    <x v="0"/>
    <x v="0"/>
    <x v="40"/>
    <n v="818"/>
    <n v="100"/>
    <n v="360"/>
    <x v="0"/>
    <s v="Urban"/>
    <x v="0"/>
    <x v="40"/>
    <x v="0"/>
  </r>
  <r>
    <x v="41"/>
    <x v="1"/>
    <x v="1"/>
    <x v="2"/>
    <x v="0"/>
    <x v="0"/>
    <x v="41"/>
    <n v="0"/>
    <n v="110"/>
    <n v="360"/>
    <x v="0"/>
    <s v="Urban"/>
    <x v="0"/>
    <x v="41"/>
    <x v="0"/>
  </r>
  <r>
    <x v="42"/>
    <x v="0"/>
    <x v="0"/>
    <x v="0"/>
    <x v="1"/>
    <x v="0"/>
    <x v="42"/>
    <n v="2024"/>
    <n v="90"/>
    <n v="360"/>
    <x v="0"/>
    <s v="Semiurban"/>
    <x v="1"/>
    <x v="42"/>
    <x v="1"/>
  </r>
  <r>
    <x v="43"/>
    <x v="0"/>
    <x v="1"/>
    <x v="0"/>
    <x v="0"/>
    <x v="0"/>
    <x v="43"/>
    <n v="2600"/>
    <n v="200"/>
    <n v="360"/>
    <x v="0"/>
    <s v="Semiurban"/>
    <x v="1"/>
    <x v="43"/>
    <x v="1"/>
  </r>
  <r>
    <x v="44"/>
    <x v="1"/>
    <x v="1"/>
    <x v="3"/>
    <x v="0"/>
    <x v="0"/>
    <x v="44"/>
    <n v="0"/>
    <n v="84"/>
    <n v="360"/>
    <x v="0"/>
    <s v="Urban"/>
    <x v="0"/>
    <x v="44"/>
    <x v="0"/>
  </r>
  <r>
    <x v="45"/>
    <x v="0"/>
    <x v="0"/>
    <x v="0"/>
    <x v="0"/>
    <x v="0"/>
    <x v="45"/>
    <n v="3900"/>
    <n v="185"/>
    <m/>
    <x v="1"/>
    <s v="Urban"/>
    <x v="1"/>
    <x v="45"/>
    <x v="1"/>
  </r>
  <r>
    <x v="46"/>
    <x v="0"/>
    <x v="0"/>
    <x v="2"/>
    <x v="1"/>
    <x v="0"/>
    <x v="46"/>
    <n v="1475"/>
    <n v="162"/>
    <n v="360"/>
    <x v="0"/>
    <s v="Urban"/>
    <x v="0"/>
    <x v="46"/>
    <x v="0"/>
  </r>
  <r>
    <x v="47"/>
    <x v="0"/>
    <x v="1"/>
    <x v="0"/>
    <x v="1"/>
    <x v="0"/>
    <x v="47"/>
    <n v="1902"/>
    <n v="108"/>
    <n v="360"/>
    <x v="0"/>
    <s v="Semiurban"/>
    <x v="1"/>
    <x v="47"/>
    <x v="1"/>
  </r>
  <r>
    <x v="48"/>
    <x v="0"/>
    <x v="1"/>
    <x v="0"/>
    <x v="0"/>
    <x v="0"/>
    <x v="48"/>
    <n v="3338"/>
    <n v="187"/>
    <m/>
    <x v="0"/>
    <s v="Urban"/>
    <x v="0"/>
    <x v="48"/>
    <x v="0"/>
  </r>
  <r>
    <x v="49"/>
    <x v="0"/>
    <x v="0"/>
    <x v="0"/>
    <x v="1"/>
    <x v="1"/>
    <x v="49"/>
    <n v="250"/>
    <n v="187"/>
    <n v="360"/>
    <x v="0"/>
    <s v="Semiurban"/>
    <x v="0"/>
    <x v="49"/>
    <x v="0"/>
  </r>
  <r>
    <x v="50"/>
    <x v="0"/>
    <x v="0"/>
    <x v="0"/>
    <x v="0"/>
    <x v="0"/>
    <x v="50"/>
    <n v="1707"/>
    <n v="124"/>
    <n v="360"/>
    <x v="0"/>
    <s v="Urban"/>
    <x v="1"/>
    <x v="50"/>
    <x v="1"/>
  </r>
  <r>
    <x v="51"/>
    <x v="2"/>
    <x v="0"/>
    <x v="0"/>
    <x v="1"/>
    <x v="0"/>
    <x v="51"/>
    <n v="833"/>
    <n v="120"/>
    <n v="360"/>
    <x v="0"/>
    <s v="Semiurban"/>
    <x v="0"/>
    <x v="51"/>
    <x v="0"/>
  </r>
  <r>
    <x v="52"/>
    <x v="0"/>
    <x v="0"/>
    <x v="4"/>
    <x v="0"/>
    <x v="0"/>
    <x v="51"/>
    <n v="3077"/>
    <n v="160"/>
    <n v="360"/>
    <x v="0"/>
    <s v="Semiurban"/>
    <x v="0"/>
    <x v="52"/>
    <x v="0"/>
  </r>
  <r>
    <x v="53"/>
    <x v="0"/>
    <x v="0"/>
    <x v="0"/>
    <x v="0"/>
    <x v="0"/>
    <x v="52"/>
    <n v="1000"/>
    <n v="30"/>
    <n v="180"/>
    <x v="0"/>
    <s v="Urban"/>
    <x v="0"/>
    <x v="53"/>
    <x v="0"/>
  </r>
  <r>
    <x v="54"/>
    <x v="0"/>
    <x v="0"/>
    <x v="1"/>
    <x v="1"/>
    <x v="1"/>
    <x v="53"/>
    <n v="0"/>
    <n v="92"/>
    <n v="360"/>
    <x v="0"/>
    <s v="Urban"/>
    <x v="0"/>
    <x v="54"/>
    <x v="0"/>
  </r>
  <r>
    <x v="55"/>
    <x v="0"/>
    <x v="1"/>
    <x v="0"/>
    <x v="0"/>
    <x v="0"/>
    <x v="54"/>
    <n v="0"/>
    <n v="130"/>
    <n v="360"/>
    <x v="2"/>
    <s v="Urban"/>
    <x v="1"/>
    <x v="55"/>
    <x v="1"/>
  </r>
  <r>
    <x v="56"/>
    <x v="1"/>
    <x v="1"/>
    <x v="0"/>
    <x v="1"/>
    <x v="0"/>
    <x v="55"/>
    <n v="0"/>
    <n v="130"/>
    <n v="360"/>
    <x v="0"/>
    <s v="Rural"/>
    <x v="0"/>
    <x v="56"/>
    <x v="0"/>
  </r>
  <r>
    <x v="57"/>
    <x v="0"/>
    <x v="0"/>
    <x v="0"/>
    <x v="0"/>
    <x v="0"/>
    <x v="56"/>
    <n v="3539"/>
    <n v="134"/>
    <n v="180"/>
    <x v="0"/>
    <s v="Semiurban"/>
    <x v="0"/>
    <x v="57"/>
    <x v="0"/>
  </r>
  <r>
    <x v="58"/>
    <x v="1"/>
    <x v="0"/>
    <x v="0"/>
    <x v="0"/>
    <x v="0"/>
    <x v="57"/>
    <n v="3664"/>
    <n v="176"/>
    <n v="360"/>
    <x v="2"/>
    <s v="Semiurban"/>
    <x v="1"/>
    <x v="58"/>
    <x v="1"/>
  </r>
  <r>
    <x v="59"/>
    <x v="0"/>
    <x v="0"/>
    <x v="0"/>
    <x v="0"/>
    <x v="0"/>
    <x v="58"/>
    <n v="0"/>
    <n v="90"/>
    <n v="180"/>
    <x v="0"/>
    <s v="Semiurban"/>
    <x v="0"/>
    <x v="59"/>
    <x v="0"/>
  </r>
  <r>
    <x v="60"/>
    <x v="0"/>
    <x v="0"/>
    <x v="1"/>
    <x v="1"/>
    <x v="0"/>
    <x v="59"/>
    <n v="1721"/>
    <n v="110"/>
    <n v="360"/>
    <x v="0"/>
    <s v="Semiurban"/>
    <x v="1"/>
    <x v="60"/>
    <x v="1"/>
  </r>
  <r>
    <x v="61"/>
    <x v="0"/>
    <x v="0"/>
    <x v="0"/>
    <x v="0"/>
    <x v="1"/>
    <x v="60"/>
    <n v="292"/>
    <n v="125"/>
    <n v="360"/>
    <x v="0"/>
    <s v="Urban"/>
    <x v="0"/>
    <x v="61"/>
    <x v="0"/>
  </r>
  <r>
    <x v="62"/>
    <x v="1"/>
    <x v="1"/>
    <x v="2"/>
    <x v="0"/>
    <x v="0"/>
    <x v="61"/>
    <n v="0"/>
    <n v="189"/>
    <n v="360"/>
    <x v="0"/>
    <s v="Semiurban"/>
    <x v="0"/>
    <x v="62"/>
    <x v="0"/>
  </r>
  <r>
    <x v="63"/>
    <x v="1"/>
    <x v="1"/>
    <x v="2"/>
    <x v="0"/>
    <x v="0"/>
    <x v="62"/>
    <n v="1500"/>
    <n v="108"/>
    <n v="360"/>
    <x v="2"/>
    <s v="Rural"/>
    <x v="1"/>
    <x v="63"/>
    <x v="1"/>
  </r>
  <r>
    <x v="64"/>
    <x v="0"/>
    <x v="0"/>
    <x v="3"/>
    <x v="1"/>
    <x v="0"/>
    <x v="63"/>
    <n v="0"/>
    <n v="125"/>
    <n v="360"/>
    <x v="0"/>
    <s v="Urban"/>
    <x v="0"/>
    <x v="64"/>
    <x v="0"/>
  </r>
  <r>
    <x v="65"/>
    <x v="0"/>
    <x v="0"/>
    <x v="0"/>
    <x v="0"/>
    <x v="0"/>
    <x v="64"/>
    <n v="3583"/>
    <n v="138"/>
    <n v="360"/>
    <x v="0"/>
    <s v="Semiurban"/>
    <x v="1"/>
    <x v="65"/>
    <x v="1"/>
  </r>
  <r>
    <x v="66"/>
    <x v="0"/>
    <x v="0"/>
    <x v="0"/>
    <x v="1"/>
    <x v="0"/>
    <x v="65"/>
    <n v="0"/>
    <n v="135"/>
    <n v="360"/>
    <x v="2"/>
    <s v="Semiurban"/>
    <x v="1"/>
    <x v="66"/>
    <x v="1"/>
  </r>
  <r>
    <x v="67"/>
    <x v="0"/>
    <x v="0"/>
    <x v="3"/>
    <x v="0"/>
    <x v="0"/>
    <x v="66"/>
    <n v="0"/>
    <n v="130"/>
    <n v="360"/>
    <x v="2"/>
    <s v="Semiurban"/>
    <x v="1"/>
    <x v="67"/>
    <x v="1"/>
  </r>
  <r>
    <x v="68"/>
    <x v="0"/>
    <x v="0"/>
    <x v="0"/>
    <x v="0"/>
    <x v="0"/>
    <x v="67"/>
    <n v="0"/>
    <n v="187"/>
    <n v="360"/>
    <x v="0"/>
    <s v="Semiurban"/>
    <x v="0"/>
    <x v="68"/>
    <x v="0"/>
  </r>
  <r>
    <x v="69"/>
    <x v="0"/>
    <x v="0"/>
    <x v="0"/>
    <x v="0"/>
    <x v="0"/>
    <x v="68"/>
    <n v="5105"/>
    <n v="188"/>
    <n v="360"/>
    <x v="2"/>
    <s v="Rural"/>
    <x v="1"/>
    <x v="69"/>
    <x v="1"/>
  </r>
  <r>
    <x v="70"/>
    <x v="1"/>
    <x v="1"/>
    <x v="3"/>
    <x v="0"/>
    <x v="0"/>
    <x v="69"/>
    <n v="0"/>
    <n v="95"/>
    <n v="360"/>
    <x v="0"/>
    <s v="Semiurban"/>
    <x v="0"/>
    <x v="70"/>
    <x v="0"/>
  </r>
  <r>
    <x v="71"/>
    <x v="0"/>
    <x v="1"/>
    <x v="0"/>
    <x v="0"/>
    <x v="0"/>
    <x v="70"/>
    <n v="0"/>
    <n v="65"/>
    <n v="360"/>
    <x v="0"/>
    <s v="Semiurban"/>
    <x v="0"/>
    <x v="71"/>
    <x v="0"/>
  </r>
  <r>
    <x v="72"/>
    <x v="0"/>
    <x v="0"/>
    <x v="0"/>
    <x v="0"/>
    <x v="2"/>
    <x v="71"/>
    <n v="1775"/>
    <n v="139"/>
    <n v="60"/>
    <x v="0"/>
    <s v="Urban"/>
    <x v="0"/>
    <x v="72"/>
    <x v="0"/>
  </r>
  <r>
    <x v="73"/>
    <x v="0"/>
    <x v="0"/>
    <x v="2"/>
    <x v="0"/>
    <x v="1"/>
    <x v="72"/>
    <n v="2094"/>
    <n v="232"/>
    <n v="360"/>
    <x v="0"/>
    <s v="Rural"/>
    <x v="1"/>
    <x v="73"/>
    <x v="1"/>
  </r>
  <r>
    <x v="74"/>
    <x v="0"/>
    <x v="0"/>
    <x v="1"/>
    <x v="1"/>
    <x v="0"/>
    <x v="73"/>
    <n v="3583"/>
    <n v="144"/>
    <n v="360"/>
    <x v="0"/>
    <s v="Semiurban"/>
    <x v="0"/>
    <x v="74"/>
    <x v="0"/>
  </r>
  <r>
    <x v="75"/>
    <x v="0"/>
    <x v="1"/>
    <x v="3"/>
    <x v="0"/>
    <x v="0"/>
    <x v="74"/>
    <n v="3435"/>
    <n v="155"/>
    <n v="360"/>
    <x v="0"/>
    <s v="Urban"/>
    <x v="0"/>
    <x v="75"/>
    <x v="0"/>
  </r>
  <r>
    <x v="76"/>
    <x v="0"/>
    <x v="0"/>
    <x v="1"/>
    <x v="0"/>
    <x v="0"/>
    <x v="75"/>
    <n v="2367"/>
    <n v="186"/>
    <n v="360"/>
    <x v="0"/>
    <s v="Urban"/>
    <x v="0"/>
    <x v="76"/>
    <x v="0"/>
  </r>
  <r>
    <x v="77"/>
    <x v="0"/>
    <x v="1"/>
    <x v="2"/>
    <x v="0"/>
    <x v="1"/>
    <x v="76"/>
    <n v="0"/>
    <n v="50"/>
    <n v="360"/>
    <x v="0"/>
    <s v="Rural"/>
    <x v="0"/>
    <x v="77"/>
    <x v="0"/>
  </r>
  <r>
    <x v="78"/>
    <x v="0"/>
    <x v="0"/>
    <x v="1"/>
    <x v="0"/>
    <x v="0"/>
    <x v="77"/>
    <n v="4053"/>
    <m/>
    <n v="360"/>
    <x v="0"/>
    <s v="Semiurban"/>
    <x v="0"/>
    <x v="78"/>
    <x v="0"/>
  </r>
  <r>
    <x v="79"/>
    <x v="1"/>
    <x v="0"/>
    <x v="0"/>
    <x v="0"/>
    <x v="0"/>
    <x v="78"/>
    <n v="0"/>
    <n v="185"/>
    <n v="360"/>
    <x v="0"/>
    <s v="Urban"/>
    <x v="0"/>
    <x v="79"/>
    <x v="0"/>
  </r>
  <r>
    <x v="80"/>
    <x v="0"/>
    <x v="0"/>
    <x v="2"/>
    <x v="0"/>
    <x v="0"/>
    <x v="79"/>
    <n v="1103"/>
    <n v="163"/>
    <n v="360"/>
    <x v="2"/>
    <s v="Urban"/>
    <x v="1"/>
    <x v="80"/>
    <x v="1"/>
  </r>
  <r>
    <x v="81"/>
    <x v="0"/>
    <x v="0"/>
    <x v="2"/>
    <x v="0"/>
    <x v="0"/>
    <x v="80"/>
    <n v="0"/>
    <n v="360"/>
    <n v="360"/>
    <x v="0"/>
    <s v="Urban"/>
    <x v="1"/>
    <x v="81"/>
    <x v="1"/>
  </r>
  <r>
    <x v="82"/>
    <x v="0"/>
    <x v="0"/>
    <x v="0"/>
    <x v="1"/>
    <x v="0"/>
    <x v="81"/>
    <n v="0"/>
    <n v="149"/>
    <n v="480"/>
    <x v="2"/>
    <s v="Rural"/>
    <x v="1"/>
    <x v="60"/>
    <x v="1"/>
  </r>
  <r>
    <x v="83"/>
    <x v="0"/>
    <x v="0"/>
    <x v="0"/>
    <x v="0"/>
    <x v="0"/>
    <x v="82"/>
    <n v="0"/>
    <n v="257"/>
    <n v="360"/>
    <x v="0"/>
    <s v="Rural"/>
    <x v="1"/>
    <x v="82"/>
    <x v="1"/>
  </r>
  <r>
    <x v="84"/>
    <x v="0"/>
    <x v="0"/>
    <x v="1"/>
    <x v="0"/>
    <x v="0"/>
    <x v="83"/>
    <n v="0"/>
    <n v="131"/>
    <n v="180"/>
    <x v="2"/>
    <s v="Semiurban"/>
    <x v="1"/>
    <x v="83"/>
    <x v="1"/>
  </r>
  <r>
    <x v="85"/>
    <x v="0"/>
    <x v="0"/>
    <x v="3"/>
    <x v="0"/>
    <x v="0"/>
    <x v="84"/>
    <n v="8000"/>
    <n v="102"/>
    <n v="180"/>
    <x v="0"/>
    <s v="Rural"/>
    <x v="0"/>
    <x v="84"/>
    <x v="0"/>
  </r>
  <r>
    <x v="86"/>
    <x v="0"/>
    <x v="0"/>
    <x v="0"/>
    <x v="0"/>
    <x v="0"/>
    <x v="85"/>
    <n v="1917"/>
    <n v="135"/>
    <n v="360"/>
    <x v="0"/>
    <s v="Urban"/>
    <x v="0"/>
    <x v="85"/>
    <x v="0"/>
  </r>
  <r>
    <x v="87"/>
    <x v="0"/>
    <x v="1"/>
    <x v="0"/>
    <x v="0"/>
    <x v="0"/>
    <x v="86"/>
    <n v="0"/>
    <n v="95"/>
    <n v="360"/>
    <x v="0"/>
    <s v="Semiurban"/>
    <x v="0"/>
    <x v="86"/>
    <x v="0"/>
  </r>
  <r>
    <x v="88"/>
    <x v="0"/>
    <x v="1"/>
    <x v="0"/>
    <x v="1"/>
    <x v="0"/>
    <x v="87"/>
    <n v="2015"/>
    <n v="77"/>
    <n v="360"/>
    <x v="0"/>
    <s v="Semiurban"/>
    <x v="0"/>
    <x v="87"/>
    <x v="0"/>
  </r>
  <r>
    <x v="89"/>
    <x v="1"/>
    <x v="1"/>
    <x v="2"/>
    <x v="0"/>
    <x v="2"/>
    <x v="88"/>
    <n v="0"/>
    <n v="200"/>
    <n v="360"/>
    <x v="0"/>
    <s v="Rural"/>
    <x v="1"/>
    <x v="88"/>
    <x v="1"/>
  </r>
  <r>
    <x v="90"/>
    <x v="0"/>
    <x v="0"/>
    <x v="0"/>
    <x v="0"/>
    <x v="1"/>
    <x v="89"/>
    <n v="2286"/>
    <n v="130"/>
    <n v="360"/>
    <x v="1"/>
    <s v="Rural"/>
    <x v="1"/>
    <x v="89"/>
    <x v="1"/>
  </r>
  <r>
    <x v="91"/>
    <x v="0"/>
    <x v="0"/>
    <x v="0"/>
    <x v="0"/>
    <x v="0"/>
    <x v="90"/>
    <n v="0"/>
    <n v="390"/>
    <n v="360"/>
    <x v="0"/>
    <s v="Rural"/>
    <x v="1"/>
    <x v="90"/>
    <x v="1"/>
  </r>
  <r>
    <x v="92"/>
    <x v="0"/>
    <x v="0"/>
    <x v="0"/>
    <x v="0"/>
    <x v="0"/>
    <x v="91"/>
    <n v="2500"/>
    <n v="185"/>
    <n v="360"/>
    <x v="0"/>
    <s v="Semiurban"/>
    <x v="0"/>
    <x v="91"/>
    <x v="0"/>
  </r>
  <r>
    <x v="93"/>
    <x v="0"/>
    <x v="0"/>
    <x v="4"/>
    <x v="1"/>
    <x v="0"/>
    <x v="92"/>
    <n v="1646"/>
    <n v="100"/>
    <n v="360"/>
    <x v="0"/>
    <s v="Semiurban"/>
    <x v="0"/>
    <x v="92"/>
    <x v="0"/>
  </r>
  <r>
    <x v="94"/>
    <x v="0"/>
    <x v="0"/>
    <x v="0"/>
    <x v="0"/>
    <x v="0"/>
    <x v="93"/>
    <n v="2333"/>
    <n v="123"/>
    <n v="360"/>
    <x v="2"/>
    <s v="Semiurban"/>
    <x v="1"/>
    <x v="93"/>
    <x v="1"/>
  </r>
  <r>
    <x v="95"/>
    <x v="1"/>
    <x v="0"/>
    <x v="3"/>
    <x v="0"/>
    <x v="0"/>
    <x v="94"/>
    <n v="0"/>
    <n v="110"/>
    <n v="360"/>
    <x v="0"/>
    <s v="Semiurban"/>
    <x v="0"/>
    <x v="94"/>
    <x v="0"/>
  </r>
  <r>
    <x v="96"/>
    <x v="0"/>
    <x v="0"/>
    <x v="0"/>
    <x v="0"/>
    <x v="0"/>
    <x v="95"/>
    <n v="4200"/>
    <n v="256"/>
    <n v="360"/>
    <x v="0"/>
    <s v="Urban"/>
    <x v="1"/>
    <x v="95"/>
    <x v="1"/>
  </r>
  <r>
    <x v="97"/>
    <x v="0"/>
    <x v="0"/>
    <x v="2"/>
    <x v="0"/>
    <x v="0"/>
    <x v="51"/>
    <n v="3250"/>
    <n v="140"/>
    <n v="360"/>
    <x v="0"/>
    <s v="Semiurban"/>
    <x v="0"/>
    <x v="96"/>
    <x v="0"/>
  </r>
  <r>
    <x v="98"/>
    <x v="0"/>
    <x v="0"/>
    <x v="0"/>
    <x v="0"/>
    <x v="0"/>
    <x v="96"/>
    <n v="0"/>
    <n v="61"/>
    <n v="360"/>
    <x v="0"/>
    <s v="Urban"/>
    <x v="0"/>
    <x v="97"/>
    <x v="0"/>
  </r>
  <r>
    <x v="99"/>
    <x v="0"/>
    <x v="0"/>
    <x v="1"/>
    <x v="0"/>
    <x v="0"/>
    <x v="97"/>
    <n v="0"/>
    <n v="188"/>
    <n v="360"/>
    <x v="1"/>
    <s v="Semiurban"/>
    <x v="1"/>
    <x v="98"/>
    <x v="1"/>
  </r>
  <r>
    <x v="100"/>
    <x v="0"/>
    <x v="1"/>
    <x v="0"/>
    <x v="0"/>
    <x v="0"/>
    <x v="98"/>
    <n v="0"/>
    <n v="131"/>
    <n v="360"/>
    <x v="0"/>
    <s v="Rural"/>
    <x v="0"/>
    <x v="99"/>
    <x v="0"/>
  </r>
  <r>
    <x v="101"/>
    <x v="1"/>
    <x v="0"/>
    <x v="3"/>
    <x v="0"/>
    <x v="0"/>
    <x v="99"/>
    <n v="0"/>
    <m/>
    <n v="480"/>
    <x v="2"/>
    <s v="Semiurban"/>
    <x v="1"/>
    <x v="100"/>
    <x v="1"/>
  </r>
  <r>
    <x v="102"/>
    <x v="0"/>
    <x v="0"/>
    <x v="0"/>
    <x v="0"/>
    <x v="0"/>
    <x v="100"/>
    <n v="0"/>
    <n v="116"/>
    <n v="360"/>
    <x v="0"/>
    <s v="Urban"/>
    <x v="0"/>
    <x v="101"/>
    <x v="0"/>
  </r>
  <r>
    <x v="103"/>
    <x v="0"/>
    <x v="0"/>
    <x v="0"/>
    <x v="1"/>
    <x v="0"/>
    <x v="101"/>
    <n v="0"/>
    <n v="50"/>
    <n v="180"/>
    <x v="0"/>
    <s v="Rural"/>
    <x v="1"/>
    <x v="102"/>
    <x v="1"/>
  </r>
  <r>
    <x v="104"/>
    <x v="0"/>
    <x v="1"/>
    <x v="2"/>
    <x v="0"/>
    <x v="0"/>
    <x v="102"/>
    <n v="2233"/>
    <n v="107"/>
    <n v="360"/>
    <x v="1"/>
    <s v="Semiurban"/>
    <x v="1"/>
    <x v="103"/>
    <x v="1"/>
  </r>
  <r>
    <x v="105"/>
    <x v="1"/>
    <x v="0"/>
    <x v="0"/>
    <x v="0"/>
    <x v="0"/>
    <x v="103"/>
    <n v="1287"/>
    <n v="200"/>
    <n v="360"/>
    <x v="0"/>
    <s v="Semiurban"/>
    <x v="1"/>
    <x v="104"/>
    <x v="1"/>
  </r>
  <r>
    <x v="106"/>
    <x v="2"/>
    <x v="1"/>
    <x v="0"/>
    <x v="0"/>
    <x v="0"/>
    <x v="104"/>
    <n v="1760"/>
    <n v="119"/>
    <n v="360"/>
    <x v="2"/>
    <s v="Urban"/>
    <x v="1"/>
    <x v="105"/>
    <x v="1"/>
  </r>
  <r>
    <x v="107"/>
    <x v="0"/>
    <x v="0"/>
    <x v="0"/>
    <x v="0"/>
    <x v="0"/>
    <x v="105"/>
    <n v="0"/>
    <n v="120"/>
    <n v="360"/>
    <x v="0"/>
    <s v="Rural"/>
    <x v="0"/>
    <x v="106"/>
    <x v="0"/>
  </r>
  <r>
    <x v="108"/>
    <x v="0"/>
    <x v="0"/>
    <x v="0"/>
    <x v="0"/>
    <x v="0"/>
    <x v="106"/>
    <n v="0"/>
    <n v="140"/>
    <n v="360"/>
    <x v="0"/>
    <s v="Semiurban"/>
    <x v="0"/>
    <x v="107"/>
    <x v="0"/>
  </r>
  <r>
    <x v="109"/>
    <x v="0"/>
    <x v="0"/>
    <x v="3"/>
    <x v="1"/>
    <x v="0"/>
    <x v="107"/>
    <n v="1350"/>
    <n v="165"/>
    <n v="360"/>
    <x v="0"/>
    <s v="Urban"/>
    <x v="0"/>
    <x v="108"/>
    <x v="0"/>
  </r>
  <r>
    <x v="110"/>
    <x v="1"/>
    <x v="1"/>
    <x v="0"/>
    <x v="0"/>
    <x v="1"/>
    <x v="108"/>
    <n v="0"/>
    <n v="108"/>
    <n v="360"/>
    <x v="0"/>
    <s v="Semiurban"/>
    <x v="0"/>
    <x v="109"/>
    <x v="0"/>
  </r>
  <r>
    <x v="111"/>
    <x v="0"/>
    <x v="0"/>
    <x v="1"/>
    <x v="0"/>
    <x v="0"/>
    <x v="109"/>
    <n v="0"/>
    <n v="93"/>
    <n v="360"/>
    <x v="0"/>
    <s v="Semiurban"/>
    <x v="0"/>
    <x v="110"/>
    <x v="0"/>
  </r>
  <r>
    <x v="112"/>
    <x v="1"/>
    <x v="1"/>
    <x v="0"/>
    <x v="0"/>
    <x v="0"/>
    <x v="103"/>
    <n v="0"/>
    <n v="102"/>
    <n v="360"/>
    <x v="0"/>
    <s v="Urban"/>
    <x v="0"/>
    <x v="111"/>
    <x v="0"/>
  </r>
  <r>
    <x v="113"/>
    <x v="1"/>
    <x v="0"/>
    <x v="0"/>
    <x v="0"/>
    <x v="0"/>
    <x v="110"/>
    <n v="3396"/>
    <n v="122"/>
    <n v="360"/>
    <x v="0"/>
    <s v="Semiurban"/>
    <x v="1"/>
    <x v="112"/>
    <x v="1"/>
  </r>
  <r>
    <x v="114"/>
    <x v="0"/>
    <x v="0"/>
    <x v="1"/>
    <x v="0"/>
    <x v="0"/>
    <x v="111"/>
    <n v="4754"/>
    <n v="160"/>
    <n v="360"/>
    <x v="0"/>
    <s v="Rural"/>
    <x v="0"/>
    <x v="113"/>
    <x v="0"/>
  </r>
  <r>
    <x v="115"/>
    <x v="0"/>
    <x v="1"/>
    <x v="1"/>
    <x v="0"/>
    <x v="0"/>
    <x v="112"/>
    <n v="4123"/>
    <n v="157"/>
    <n v="360"/>
    <x v="1"/>
    <s v="Semiurban"/>
    <x v="1"/>
    <x v="114"/>
    <x v="1"/>
  </r>
  <r>
    <x v="116"/>
    <x v="1"/>
    <x v="1"/>
    <x v="0"/>
    <x v="1"/>
    <x v="0"/>
    <x v="25"/>
    <n v="1760"/>
    <n v="180"/>
    <n v="360"/>
    <x v="0"/>
    <s v="Semiurban"/>
    <x v="1"/>
    <x v="115"/>
    <x v="1"/>
  </r>
  <r>
    <x v="117"/>
    <x v="0"/>
    <x v="0"/>
    <x v="0"/>
    <x v="0"/>
    <x v="0"/>
    <x v="113"/>
    <n v="2900"/>
    <n v="80"/>
    <m/>
    <x v="2"/>
    <s v="Rural"/>
    <x v="1"/>
    <x v="116"/>
    <x v="1"/>
  </r>
  <r>
    <x v="118"/>
    <x v="1"/>
    <x v="1"/>
    <x v="3"/>
    <x v="0"/>
    <x v="0"/>
    <x v="114"/>
    <n v="2666"/>
    <n v="104"/>
    <n v="360"/>
    <x v="2"/>
    <s v="Urban"/>
    <x v="1"/>
    <x v="117"/>
    <x v="1"/>
  </r>
  <r>
    <x v="119"/>
    <x v="0"/>
    <x v="0"/>
    <x v="1"/>
    <x v="0"/>
    <x v="0"/>
    <x v="115"/>
    <n v="3510"/>
    <n v="213"/>
    <n v="360"/>
    <x v="2"/>
    <s v="Rural"/>
    <x v="1"/>
    <x v="118"/>
    <x v="1"/>
  </r>
  <r>
    <x v="120"/>
    <x v="0"/>
    <x v="1"/>
    <x v="4"/>
    <x v="0"/>
    <x v="0"/>
    <x v="116"/>
    <n v="0"/>
    <n v="65"/>
    <n v="360"/>
    <x v="0"/>
    <s v="Urban"/>
    <x v="0"/>
    <x v="119"/>
    <x v="0"/>
  </r>
  <r>
    <x v="121"/>
    <x v="0"/>
    <x v="0"/>
    <x v="2"/>
    <x v="0"/>
    <x v="0"/>
    <x v="117"/>
    <n v="3803"/>
    <n v="146"/>
    <n v="360"/>
    <x v="0"/>
    <s v="Rural"/>
    <x v="1"/>
    <x v="120"/>
    <x v="1"/>
  </r>
  <r>
    <x v="122"/>
    <x v="0"/>
    <x v="0"/>
    <x v="0"/>
    <x v="0"/>
    <x v="0"/>
    <x v="118"/>
    <n v="1560"/>
    <n v="135"/>
    <n v="360"/>
    <x v="0"/>
    <s v="Urban"/>
    <x v="0"/>
    <x v="121"/>
    <x v="0"/>
  </r>
  <r>
    <x v="123"/>
    <x v="0"/>
    <x v="1"/>
    <x v="2"/>
    <x v="0"/>
    <x v="0"/>
    <x v="119"/>
    <n v="6414"/>
    <n v="187"/>
    <n v="360"/>
    <x v="2"/>
    <s v="Rural"/>
    <x v="1"/>
    <x v="122"/>
    <x v="1"/>
  </r>
  <r>
    <x v="124"/>
    <x v="1"/>
    <x v="1"/>
    <x v="2"/>
    <x v="0"/>
    <x v="0"/>
    <x v="120"/>
    <n v="0"/>
    <n v="300"/>
    <n v="360"/>
    <x v="2"/>
    <s v="Urban"/>
    <x v="1"/>
    <x v="123"/>
    <x v="1"/>
  </r>
  <r>
    <x v="125"/>
    <x v="0"/>
    <x v="1"/>
    <x v="0"/>
    <x v="0"/>
    <x v="0"/>
    <x v="121"/>
    <n v="0"/>
    <n v="120"/>
    <n v="360"/>
    <x v="0"/>
    <s v="Semiurban"/>
    <x v="0"/>
    <x v="124"/>
    <x v="0"/>
  </r>
  <r>
    <x v="126"/>
    <x v="0"/>
    <x v="1"/>
    <x v="3"/>
    <x v="0"/>
    <x v="0"/>
    <x v="43"/>
    <n v="0"/>
    <n v="71"/>
    <n v="360"/>
    <x v="2"/>
    <s v="Urban"/>
    <x v="1"/>
    <x v="65"/>
    <x v="1"/>
  </r>
  <r>
    <x v="127"/>
    <x v="0"/>
    <x v="0"/>
    <x v="0"/>
    <x v="0"/>
    <x v="0"/>
    <x v="27"/>
    <n v="0"/>
    <n v="225"/>
    <n v="360"/>
    <x v="0"/>
    <s v="Urban"/>
    <x v="1"/>
    <x v="125"/>
    <x v="1"/>
  </r>
  <r>
    <x v="128"/>
    <x v="0"/>
    <x v="1"/>
    <x v="0"/>
    <x v="0"/>
    <x v="0"/>
    <x v="122"/>
    <n v="0"/>
    <n v="70"/>
    <n v="180"/>
    <x v="0"/>
    <s v="Urban"/>
    <x v="0"/>
    <x v="126"/>
    <x v="0"/>
  </r>
  <r>
    <x v="129"/>
    <x v="0"/>
    <x v="0"/>
    <x v="0"/>
    <x v="1"/>
    <x v="0"/>
    <x v="123"/>
    <n v="2088"/>
    <n v="70"/>
    <m/>
    <x v="0"/>
    <s v="Semiurban"/>
    <x v="0"/>
    <x v="127"/>
    <x v="0"/>
  </r>
  <r>
    <x v="130"/>
    <x v="0"/>
    <x v="0"/>
    <x v="1"/>
    <x v="0"/>
    <x v="0"/>
    <x v="95"/>
    <n v="1270"/>
    <n v="124"/>
    <n v="360"/>
    <x v="0"/>
    <s v="Urban"/>
    <x v="0"/>
    <x v="128"/>
    <x v="0"/>
  </r>
  <r>
    <x v="131"/>
    <x v="0"/>
    <x v="1"/>
    <x v="0"/>
    <x v="0"/>
    <x v="0"/>
    <x v="124"/>
    <n v="0"/>
    <n v="132"/>
    <n v="360"/>
    <x v="0"/>
    <s v="Rural"/>
    <x v="0"/>
    <x v="129"/>
    <x v="0"/>
  </r>
  <r>
    <x v="132"/>
    <x v="0"/>
    <x v="0"/>
    <x v="0"/>
    <x v="0"/>
    <x v="1"/>
    <x v="125"/>
    <n v="1517"/>
    <n v="105"/>
    <n v="360"/>
    <x v="0"/>
    <s v="Rural"/>
    <x v="0"/>
    <x v="130"/>
    <x v="0"/>
  </r>
  <r>
    <x v="133"/>
    <x v="1"/>
    <x v="1"/>
    <x v="0"/>
    <x v="0"/>
    <x v="0"/>
    <x v="126"/>
    <n v="0"/>
    <n v="90"/>
    <n v="360"/>
    <x v="0"/>
    <s v="Urban"/>
    <x v="0"/>
    <x v="131"/>
    <x v="0"/>
  </r>
  <r>
    <x v="134"/>
    <x v="0"/>
    <x v="1"/>
    <x v="0"/>
    <x v="0"/>
    <x v="0"/>
    <x v="127"/>
    <n v="0"/>
    <n v="83"/>
    <n v="84"/>
    <x v="0"/>
    <s v="Urban"/>
    <x v="0"/>
    <x v="132"/>
    <x v="0"/>
  </r>
  <r>
    <x v="135"/>
    <x v="0"/>
    <x v="0"/>
    <x v="1"/>
    <x v="0"/>
    <x v="0"/>
    <x v="128"/>
    <n v="0"/>
    <n v="125"/>
    <n v="360"/>
    <x v="0"/>
    <s v="Urban"/>
    <x v="0"/>
    <x v="47"/>
    <x v="0"/>
  </r>
  <r>
    <x v="136"/>
    <x v="0"/>
    <x v="0"/>
    <x v="3"/>
    <x v="0"/>
    <x v="0"/>
    <x v="106"/>
    <n v="0"/>
    <n v="147"/>
    <n v="360"/>
    <x v="0"/>
    <s v="Rural"/>
    <x v="0"/>
    <x v="107"/>
    <x v="0"/>
  </r>
  <r>
    <x v="137"/>
    <x v="0"/>
    <x v="0"/>
    <x v="0"/>
    <x v="0"/>
    <x v="0"/>
    <x v="129"/>
    <n v="2925"/>
    <n v="120"/>
    <n v="360"/>
    <x v="0"/>
    <s v="Rural"/>
    <x v="1"/>
    <x v="133"/>
    <x v="1"/>
  </r>
  <r>
    <x v="138"/>
    <x v="2"/>
    <x v="1"/>
    <x v="3"/>
    <x v="0"/>
    <x v="0"/>
    <x v="95"/>
    <n v="1250"/>
    <n v="110"/>
    <n v="360"/>
    <x v="0"/>
    <s v="Semiurban"/>
    <x v="0"/>
    <x v="134"/>
    <x v="0"/>
  </r>
  <r>
    <x v="139"/>
    <x v="1"/>
    <x v="1"/>
    <x v="0"/>
    <x v="0"/>
    <x v="0"/>
    <x v="71"/>
    <n v="0"/>
    <n v="103"/>
    <n v="360"/>
    <x v="1"/>
    <s v="Semiurban"/>
    <x v="1"/>
    <x v="135"/>
    <x v="1"/>
  </r>
  <r>
    <x v="140"/>
    <x v="0"/>
    <x v="1"/>
    <x v="1"/>
    <x v="0"/>
    <x v="0"/>
    <x v="130"/>
    <n v="0"/>
    <n v="150"/>
    <n v="360"/>
    <x v="2"/>
    <s v="Rural"/>
    <x v="1"/>
    <x v="136"/>
    <x v="1"/>
  </r>
  <r>
    <x v="141"/>
    <x v="0"/>
    <x v="0"/>
    <x v="0"/>
    <x v="0"/>
    <x v="0"/>
    <x v="131"/>
    <n v="2999"/>
    <n v="100"/>
    <n v="240"/>
    <x v="0"/>
    <s v="Rural"/>
    <x v="0"/>
    <x v="137"/>
    <x v="0"/>
  </r>
  <r>
    <x v="142"/>
    <x v="0"/>
    <x v="0"/>
    <x v="0"/>
    <x v="1"/>
    <x v="2"/>
    <x v="132"/>
    <n v="528"/>
    <n v="139"/>
    <n v="360"/>
    <x v="2"/>
    <s v="Urban"/>
    <x v="1"/>
    <x v="138"/>
    <x v="1"/>
  </r>
  <r>
    <x v="143"/>
    <x v="0"/>
    <x v="0"/>
    <x v="0"/>
    <x v="0"/>
    <x v="1"/>
    <x v="133"/>
    <n v="0"/>
    <n v="550"/>
    <n v="360"/>
    <x v="1"/>
    <s v="Semiurban"/>
    <x v="1"/>
    <x v="139"/>
    <x v="1"/>
  </r>
  <r>
    <x v="144"/>
    <x v="0"/>
    <x v="0"/>
    <x v="0"/>
    <x v="0"/>
    <x v="1"/>
    <x v="134"/>
    <n v="0"/>
    <n v="260"/>
    <n v="12"/>
    <x v="0"/>
    <s v="Rural"/>
    <x v="1"/>
    <x v="140"/>
    <x v="1"/>
  </r>
  <r>
    <x v="145"/>
    <x v="1"/>
    <x v="1"/>
    <x v="0"/>
    <x v="0"/>
    <x v="0"/>
    <x v="135"/>
    <n v="0"/>
    <n v="150"/>
    <n v="300"/>
    <x v="0"/>
    <s v="Urban"/>
    <x v="0"/>
    <x v="141"/>
    <x v="0"/>
  </r>
  <r>
    <x v="146"/>
    <x v="0"/>
    <x v="1"/>
    <x v="1"/>
    <x v="1"/>
    <x v="0"/>
    <x v="4"/>
    <n v="0"/>
    <n v="90"/>
    <n v="360"/>
    <x v="0"/>
    <s v="Semiurban"/>
    <x v="0"/>
    <x v="4"/>
    <x v="0"/>
  </r>
  <r>
    <x v="147"/>
    <x v="0"/>
    <x v="1"/>
    <x v="0"/>
    <x v="1"/>
    <x v="1"/>
    <x v="136"/>
    <n v="0"/>
    <n v="199"/>
    <n v="360"/>
    <x v="2"/>
    <s v="Rural"/>
    <x v="1"/>
    <x v="142"/>
    <x v="1"/>
  </r>
  <r>
    <x v="148"/>
    <x v="0"/>
    <x v="0"/>
    <x v="3"/>
    <x v="0"/>
    <x v="0"/>
    <x v="108"/>
    <n v="717"/>
    <n v="139"/>
    <n v="360"/>
    <x v="0"/>
    <s v="Semiurban"/>
    <x v="0"/>
    <x v="143"/>
    <x v="0"/>
  </r>
  <r>
    <x v="149"/>
    <x v="0"/>
    <x v="1"/>
    <x v="0"/>
    <x v="0"/>
    <x v="0"/>
    <x v="137"/>
    <n v="0"/>
    <n v="150"/>
    <n v="360"/>
    <x v="0"/>
    <s v="Urban"/>
    <x v="0"/>
    <x v="144"/>
    <x v="0"/>
  </r>
  <r>
    <x v="150"/>
    <x v="0"/>
    <x v="1"/>
    <x v="2"/>
    <x v="0"/>
    <x v="0"/>
    <x v="138"/>
    <n v="4309"/>
    <n v="180"/>
    <n v="360"/>
    <x v="0"/>
    <s v="Urban"/>
    <x v="0"/>
    <x v="145"/>
    <x v="0"/>
  </r>
  <r>
    <x v="151"/>
    <x v="0"/>
    <x v="0"/>
    <x v="1"/>
    <x v="0"/>
    <x v="0"/>
    <x v="33"/>
    <n v="1456"/>
    <n v="113"/>
    <n v="360"/>
    <x v="0"/>
    <s v="Urban"/>
    <x v="1"/>
    <x v="146"/>
    <x v="1"/>
  </r>
  <r>
    <x v="152"/>
    <x v="0"/>
    <x v="1"/>
    <x v="0"/>
    <x v="0"/>
    <x v="0"/>
    <x v="2"/>
    <n v="0"/>
    <n v="148"/>
    <n v="360"/>
    <x v="0"/>
    <s v="Rural"/>
    <x v="0"/>
    <x v="147"/>
    <x v="0"/>
  </r>
  <r>
    <x v="153"/>
    <x v="0"/>
    <x v="0"/>
    <x v="3"/>
    <x v="1"/>
    <x v="0"/>
    <x v="139"/>
    <n v="2360"/>
    <n v="117"/>
    <n v="360"/>
    <x v="2"/>
    <s v="Urban"/>
    <x v="1"/>
    <x v="148"/>
    <x v="1"/>
  </r>
  <r>
    <x v="154"/>
    <x v="0"/>
    <x v="0"/>
    <x v="0"/>
    <x v="0"/>
    <x v="0"/>
    <x v="140"/>
    <n v="0"/>
    <n v="72"/>
    <n v="360"/>
    <x v="0"/>
    <s v="Rural"/>
    <x v="0"/>
    <x v="149"/>
    <x v="0"/>
  </r>
  <r>
    <x v="155"/>
    <x v="0"/>
    <x v="1"/>
    <x v="0"/>
    <x v="1"/>
    <x v="1"/>
    <x v="141"/>
    <n v="2474"/>
    <n v="125"/>
    <n v="300"/>
    <x v="0"/>
    <s v="Semiurban"/>
    <x v="1"/>
    <x v="150"/>
    <x v="1"/>
  </r>
  <r>
    <x v="156"/>
    <x v="0"/>
    <x v="0"/>
    <x v="0"/>
    <x v="0"/>
    <x v="1"/>
    <x v="142"/>
    <n v="4246"/>
    <n v="214"/>
    <n v="360"/>
    <x v="0"/>
    <s v="Urban"/>
    <x v="1"/>
    <x v="151"/>
    <x v="1"/>
  </r>
  <r>
    <x v="157"/>
    <x v="0"/>
    <x v="0"/>
    <x v="3"/>
    <x v="0"/>
    <x v="0"/>
    <x v="143"/>
    <n v="2291"/>
    <n v="133"/>
    <n v="350"/>
    <x v="0"/>
    <s v="Rural"/>
    <x v="0"/>
    <x v="152"/>
    <x v="0"/>
  </r>
  <r>
    <x v="158"/>
    <x v="0"/>
    <x v="1"/>
    <x v="3"/>
    <x v="0"/>
    <x v="0"/>
    <x v="144"/>
    <n v="2529"/>
    <n v="187"/>
    <n v="360"/>
    <x v="0"/>
    <s v="Semiurban"/>
    <x v="0"/>
    <x v="153"/>
    <x v="0"/>
  </r>
  <r>
    <x v="159"/>
    <x v="0"/>
    <x v="0"/>
    <x v="0"/>
    <x v="1"/>
    <x v="0"/>
    <x v="145"/>
    <n v="0"/>
    <n v="143"/>
    <n v="360"/>
    <x v="0"/>
    <s v="Rural"/>
    <x v="0"/>
    <x v="154"/>
    <x v="0"/>
  </r>
  <r>
    <x v="160"/>
    <x v="0"/>
    <x v="1"/>
    <x v="3"/>
    <x v="0"/>
    <x v="0"/>
    <x v="146"/>
    <n v="4256"/>
    <n v="209"/>
    <n v="360"/>
    <x v="0"/>
    <s v="Rural"/>
    <x v="1"/>
    <x v="155"/>
    <x v="1"/>
  </r>
  <r>
    <x v="161"/>
    <x v="0"/>
    <x v="1"/>
    <x v="2"/>
    <x v="0"/>
    <x v="2"/>
    <x v="147"/>
    <n v="0"/>
    <n v="84"/>
    <n v="360"/>
    <x v="2"/>
    <s v="Semiurban"/>
    <x v="1"/>
    <x v="156"/>
    <x v="1"/>
  </r>
  <r>
    <x v="162"/>
    <x v="0"/>
    <x v="1"/>
    <x v="3"/>
    <x v="0"/>
    <x v="0"/>
    <x v="148"/>
    <n v="0"/>
    <n v="116"/>
    <n v="360"/>
    <x v="0"/>
    <s v="Urban"/>
    <x v="0"/>
    <x v="157"/>
    <x v="0"/>
  </r>
  <r>
    <x v="163"/>
    <x v="1"/>
    <x v="1"/>
    <x v="0"/>
    <x v="0"/>
    <x v="0"/>
    <x v="149"/>
    <n v="0"/>
    <n v="65"/>
    <n v="360"/>
    <x v="0"/>
    <s v="Rural"/>
    <x v="1"/>
    <x v="158"/>
    <x v="1"/>
  </r>
  <r>
    <x v="164"/>
    <x v="0"/>
    <x v="1"/>
    <x v="3"/>
    <x v="0"/>
    <x v="0"/>
    <x v="150"/>
    <n v="2370"/>
    <n v="80"/>
    <n v="240"/>
    <x v="1"/>
    <s v="Rural"/>
    <x v="1"/>
    <x v="159"/>
    <x v="1"/>
  </r>
  <r>
    <x v="165"/>
    <x v="0"/>
    <x v="1"/>
    <x v="1"/>
    <x v="1"/>
    <x v="0"/>
    <x v="151"/>
    <n v="0"/>
    <n v="170"/>
    <n v="360"/>
    <x v="2"/>
    <s v="Semiurban"/>
    <x v="1"/>
    <x v="160"/>
    <x v="1"/>
  </r>
  <r>
    <x v="166"/>
    <x v="0"/>
    <x v="1"/>
    <x v="2"/>
    <x v="1"/>
    <x v="0"/>
    <x v="152"/>
    <n v="2017"/>
    <n v="120"/>
    <n v="360"/>
    <x v="2"/>
    <s v="Urban"/>
    <x v="1"/>
    <x v="161"/>
    <x v="1"/>
  </r>
  <r>
    <x v="167"/>
    <x v="0"/>
    <x v="0"/>
    <x v="0"/>
    <x v="0"/>
    <x v="0"/>
    <x v="153"/>
    <n v="3167"/>
    <n v="135"/>
    <n v="360"/>
    <x v="0"/>
    <s v="Urban"/>
    <x v="0"/>
    <x v="162"/>
    <x v="0"/>
  </r>
  <r>
    <x v="168"/>
    <x v="1"/>
    <x v="0"/>
    <x v="3"/>
    <x v="0"/>
    <x v="2"/>
    <x v="42"/>
    <n v="2935"/>
    <n v="94"/>
    <n v="360"/>
    <x v="2"/>
    <s v="Semiurban"/>
    <x v="1"/>
    <x v="163"/>
    <x v="1"/>
  </r>
  <r>
    <x v="169"/>
    <x v="1"/>
    <x v="0"/>
    <x v="3"/>
    <x v="0"/>
    <x v="0"/>
    <x v="154"/>
    <n v="0"/>
    <n v="79"/>
    <n v="360"/>
    <x v="0"/>
    <s v="Rural"/>
    <x v="0"/>
    <x v="164"/>
    <x v="0"/>
  </r>
  <r>
    <x v="170"/>
    <x v="1"/>
    <x v="1"/>
    <x v="0"/>
    <x v="0"/>
    <x v="0"/>
    <x v="155"/>
    <n v="0"/>
    <n v="110"/>
    <n v="360"/>
    <x v="0"/>
    <s v="Rural"/>
    <x v="0"/>
    <x v="165"/>
    <x v="0"/>
  </r>
  <r>
    <x v="171"/>
    <x v="0"/>
    <x v="0"/>
    <x v="3"/>
    <x v="1"/>
    <x v="0"/>
    <x v="156"/>
    <n v="0"/>
    <n v="130"/>
    <n v="360"/>
    <x v="0"/>
    <s v="Rural"/>
    <x v="0"/>
    <x v="166"/>
    <x v="0"/>
  </r>
  <r>
    <x v="172"/>
    <x v="0"/>
    <x v="0"/>
    <x v="1"/>
    <x v="0"/>
    <x v="0"/>
    <x v="157"/>
    <n v="0"/>
    <n v="143"/>
    <n v="360"/>
    <x v="0"/>
    <s v="Rural"/>
    <x v="0"/>
    <x v="167"/>
    <x v="0"/>
  </r>
  <r>
    <x v="173"/>
    <x v="0"/>
    <x v="1"/>
    <x v="0"/>
    <x v="0"/>
    <x v="0"/>
    <x v="158"/>
    <n v="2845"/>
    <n v="159"/>
    <n v="180"/>
    <x v="2"/>
    <s v="Urban"/>
    <x v="1"/>
    <x v="168"/>
    <x v="1"/>
  </r>
  <r>
    <x v="174"/>
    <x v="0"/>
    <x v="0"/>
    <x v="3"/>
    <x v="1"/>
    <x v="0"/>
    <x v="159"/>
    <n v="1820"/>
    <n v="110"/>
    <n v="360"/>
    <x v="2"/>
    <s v="Rural"/>
    <x v="1"/>
    <x v="169"/>
    <x v="1"/>
  </r>
  <r>
    <x v="175"/>
    <x v="0"/>
    <x v="0"/>
    <x v="2"/>
    <x v="0"/>
    <x v="2"/>
    <x v="160"/>
    <n v="4614"/>
    <n v="160"/>
    <n v="360"/>
    <x v="0"/>
    <s v="Rural"/>
    <x v="0"/>
    <x v="170"/>
    <x v="0"/>
  </r>
  <r>
    <x v="176"/>
    <x v="0"/>
    <x v="0"/>
    <x v="1"/>
    <x v="1"/>
    <x v="0"/>
    <x v="119"/>
    <n v="3333"/>
    <n v="131"/>
    <n v="360"/>
    <x v="0"/>
    <s v="Urban"/>
    <x v="1"/>
    <x v="38"/>
    <x v="1"/>
  </r>
  <r>
    <x v="177"/>
    <x v="1"/>
    <x v="1"/>
    <x v="0"/>
    <x v="0"/>
    <x v="0"/>
    <x v="161"/>
    <n v="0"/>
    <n v="65"/>
    <n v="360"/>
    <x v="1"/>
    <s v="Rural"/>
    <x v="1"/>
    <x v="171"/>
    <x v="1"/>
  </r>
  <r>
    <x v="178"/>
    <x v="0"/>
    <x v="0"/>
    <x v="1"/>
    <x v="0"/>
    <x v="0"/>
    <x v="162"/>
    <n v="0"/>
    <n v="143"/>
    <n v="360"/>
    <x v="0"/>
    <s v="Rural"/>
    <x v="0"/>
    <x v="172"/>
    <x v="0"/>
  </r>
  <r>
    <x v="179"/>
    <x v="0"/>
    <x v="0"/>
    <x v="0"/>
    <x v="0"/>
    <x v="0"/>
    <x v="163"/>
    <n v="0"/>
    <n v="187"/>
    <n v="360"/>
    <x v="1"/>
    <s v="Urban"/>
    <x v="1"/>
    <x v="173"/>
    <x v="1"/>
  </r>
  <r>
    <x v="180"/>
    <x v="0"/>
    <x v="0"/>
    <x v="3"/>
    <x v="0"/>
    <x v="0"/>
    <x v="155"/>
    <n v="2632"/>
    <n v="160"/>
    <n v="360"/>
    <x v="0"/>
    <s v="Semiurban"/>
    <x v="0"/>
    <x v="174"/>
    <x v="0"/>
  </r>
  <r>
    <x v="181"/>
    <x v="0"/>
    <x v="0"/>
    <x v="0"/>
    <x v="0"/>
    <x v="0"/>
    <x v="164"/>
    <n v="2945"/>
    <n v="165"/>
    <n v="360"/>
    <x v="0"/>
    <s v="Semiurban"/>
    <x v="0"/>
    <x v="175"/>
    <x v="0"/>
  </r>
  <r>
    <x v="182"/>
    <x v="0"/>
    <x v="0"/>
    <x v="0"/>
    <x v="0"/>
    <x v="0"/>
    <x v="165"/>
    <n v="0"/>
    <n v="110"/>
    <n v="360"/>
    <x v="0"/>
    <s v="Urban"/>
    <x v="0"/>
    <x v="176"/>
    <x v="0"/>
  </r>
  <r>
    <x v="183"/>
    <x v="1"/>
    <x v="0"/>
    <x v="2"/>
    <x v="0"/>
    <x v="0"/>
    <x v="127"/>
    <n v="3917"/>
    <n v="173"/>
    <n v="360"/>
    <x v="0"/>
    <s v="Rural"/>
    <x v="0"/>
    <x v="177"/>
    <x v="0"/>
  </r>
  <r>
    <x v="184"/>
    <x v="0"/>
    <x v="0"/>
    <x v="4"/>
    <x v="0"/>
    <x v="0"/>
    <x v="166"/>
    <n v="750"/>
    <n v="150"/>
    <m/>
    <x v="0"/>
    <s v="Urban"/>
    <x v="0"/>
    <x v="178"/>
    <x v="0"/>
  </r>
  <r>
    <x v="185"/>
    <x v="0"/>
    <x v="0"/>
    <x v="0"/>
    <x v="1"/>
    <x v="0"/>
    <x v="156"/>
    <n v="0"/>
    <n v="135"/>
    <n v="360"/>
    <x v="1"/>
    <s v="Semiurban"/>
    <x v="1"/>
    <x v="166"/>
    <x v="1"/>
  </r>
  <r>
    <x v="186"/>
    <x v="0"/>
    <x v="0"/>
    <x v="0"/>
    <x v="1"/>
    <x v="0"/>
    <x v="167"/>
    <n v="1184"/>
    <n v="150"/>
    <n v="360"/>
    <x v="0"/>
    <s v="Semiurban"/>
    <x v="0"/>
    <x v="179"/>
    <x v="0"/>
  </r>
  <r>
    <x v="187"/>
    <x v="0"/>
    <x v="0"/>
    <x v="0"/>
    <x v="0"/>
    <x v="0"/>
    <x v="168"/>
    <n v="0"/>
    <n v="235"/>
    <n v="360"/>
    <x v="0"/>
    <s v="Semiurban"/>
    <x v="1"/>
    <x v="180"/>
    <x v="1"/>
  </r>
  <r>
    <x v="188"/>
    <x v="0"/>
    <x v="0"/>
    <x v="1"/>
    <x v="1"/>
    <x v="0"/>
    <x v="169"/>
    <n v="0"/>
    <m/>
    <n v="360"/>
    <x v="0"/>
    <s v="Rural"/>
    <x v="0"/>
    <x v="181"/>
    <x v="0"/>
  </r>
  <r>
    <x v="189"/>
    <x v="0"/>
    <x v="0"/>
    <x v="1"/>
    <x v="0"/>
    <x v="0"/>
    <x v="170"/>
    <n v="3967"/>
    <n v="336"/>
    <n v="360"/>
    <x v="0"/>
    <s v="Rural"/>
    <x v="1"/>
    <x v="182"/>
    <x v="1"/>
  </r>
  <r>
    <x v="190"/>
    <x v="1"/>
    <x v="0"/>
    <x v="0"/>
    <x v="0"/>
    <x v="0"/>
    <x v="143"/>
    <n v="0"/>
    <n v="132"/>
    <n v="84"/>
    <x v="0"/>
    <s v="Rural"/>
    <x v="0"/>
    <x v="51"/>
    <x v="0"/>
  </r>
  <r>
    <x v="191"/>
    <x v="0"/>
    <x v="1"/>
    <x v="1"/>
    <x v="0"/>
    <x v="0"/>
    <x v="71"/>
    <n v="0"/>
    <n v="96"/>
    <n v="360"/>
    <x v="0"/>
    <s v="Urban"/>
    <x v="0"/>
    <x v="135"/>
    <x v="0"/>
  </r>
  <r>
    <x v="192"/>
    <x v="0"/>
    <x v="0"/>
    <x v="0"/>
    <x v="1"/>
    <x v="2"/>
    <x v="171"/>
    <n v="2912"/>
    <n v="180"/>
    <n v="360"/>
    <x v="2"/>
    <s v="Rural"/>
    <x v="1"/>
    <x v="183"/>
    <x v="1"/>
  </r>
  <r>
    <x v="193"/>
    <x v="0"/>
    <x v="0"/>
    <x v="0"/>
    <x v="1"/>
    <x v="0"/>
    <x v="172"/>
    <n v="1998"/>
    <n v="128"/>
    <n v="360"/>
    <x v="2"/>
    <s v="Rural"/>
    <x v="1"/>
    <x v="184"/>
    <x v="1"/>
  </r>
  <r>
    <x v="194"/>
    <x v="0"/>
    <x v="0"/>
    <x v="2"/>
    <x v="0"/>
    <x v="0"/>
    <x v="173"/>
    <n v="2690"/>
    <n v="412"/>
    <n v="360"/>
    <x v="0"/>
    <s v="Semiurban"/>
    <x v="1"/>
    <x v="185"/>
    <x v="1"/>
  </r>
  <r>
    <x v="195"/>
    <x v="0"/>
    <x v="1"/>
    <x v="0"/>
    <x v="0"/>
    <x v="1"/>
    <x v="38"/>
    <n v="0"/>
    <n v="116"/>
    <n v="360"/>
    <x v="0"/>
    <s v="Urban"/>
    <x v="0"/>
    <x v="38"/>
    <x v="0"/>
  </r>
  <r>
    <x v="196"/>
    <x v="0"/>
    <x v="0"/>
    <x v="0"/>
    <x v="0"/>
    <x v="0"/>
    <x v="174"/>
    <n v="0"/>
    <n v="114"/>
    <n v="360"/>
    <x v="2"/>
    <s v="Semiurban"/>
    <x v="1"/>
    <x v="186"/>
    <x v="1"/>
  </r>
  <r>
    <x v="197"/>
    <x v="0"/>
    <x v="0"/>
    <x v="0"/>
    <x v="1"/>
    <x v="0"/>
    <x v="175"/>
    <n v="1600"/>
    <n v="115"/>
    <n v="360"/>
    <x v="0"/>
    <s v="Rural"/>
    <x v="1"/>
    <x v="187"/>
    <x v="1"/>
  </r>
  <r>
    <x v="198"/>
    <x v="0"/>
    <x v="0"/>
    <x v="0"/>
    <x v="0"/>
    <x v="0"/>
    <x v="176"/>
    <n v="700"/>
    <n v="104"/>
    <n v="360"/>
    <x v="2"/>
    <s v="Urban"/>
    <x v="1"/>
    <x v="188"/>
    <x v="1"/>
  </r>
  <r>
    <x v="199"/>
    <x v="0"/>
    <x v="0"/>
    <x v="0"/>
    <x v="0"/>
    <x v="1"/>
    <x v="177"/>
    <n v="1442"/>
    <n v="88"/>
    <n v="360"/>
    <x v="0"/>
    <s v="Rural"/>
    <x v="1"/>
    <x v="189"/>
    <x v="1"/>
  </r>
  <r>
    <x v="200"/>
    <x v="0"/>
    <x v="0"/>
    <x v="1"/>
    <x v="0"/>
    <x v="1"/>
    <x v="178"/>
    <n v="0"/>
    <n v="108"/>
    <n v="480"/>
    <x v="0"/>
    <s v="Rural"/>
    <x v="0"/>
    <x v="190"/>
    <x v="0"/>
  </r>
  <r>
    <x v="201"/>
    <x v="0"/>
    <x v="0"/>
    <x v="1"/>
    <x v="1"/>
    <x v="0"/>
    <x v="179"/>
    <n v="542"/>
    <n v="90"/>
    <n v="360"/>
    <x v="0"/>
    <s v="Urban"/>
    <x v="1"/>
    <x v="191"/>
    <x v="1"/>
  </r>
  <r>
    <x v="202"/>
    <x v="0"/>
    <x v="0"/>
    <x v="0"/>
    <x v="0"/>
    <x v="0"/>
    <x v="180"/>
    <n v="1300"/>
    <n v="100"/>
    <n v="360"/>
    <x v="1"/>
    <s v="Urban"/>
    <x v="1"/>
    <x v="192"/>
    <x v="1"/>
  </r>
  <r>
    <x v="203"/>
    <x v="1"/>
    <x v="0"/>
    <x v="0"/>
    <x v="0"/>
    <x v="0"/>
    <x v="181"/>
    <n v="2374"/>
    <n v="108"/>
    <n v="360"/>
    <x v="0"/>
    <s v="Semiurban"/>
    <x v="0"/>
    <x v="193"/>
    <x v="0"/>
  </r>
  <r>
    <x v="204"/>
    <x v="1"/>
    <x v="1"/>
    <x v="3"/>
    <x v="0"/>
    <x v="0"/>
    <x v="182"/>
    <n v="1152"/>
    <n v="78"/>
    <n v="360"/>
    <x v="0"/>
    <s v="Semiurban"/>
    <x v="1"/>
    <x v="194"/>
    <x v="1"/>
  </r>
  <r>
    <x v="205"/>
    <x v="0"/>
    <x v="0"/>
    <x v="1"/>
    <x v="0"/>
    <x v="0"/>
    <x v="183"/>
    <n v="2417"/>
    <n v="123"/>
    <n v="360"/>
    <x v="0"/>
    <s v="Semiurban"/>
    <x v="1"/>
    <x v="195"/>
    <x v="1"/>
  </r>
  <r>
    <x v="206"/>
    <x v="0"/>
    <x v="0"/>
    <x v="3"/>
    <x v="0"/>
    <x v="0"/>
    <x v="184"/>
    <n v="2600"/>
    <n v="187"/>
    <n v="360"/>
    <x v="0"/>
    <s v="Semiurban"/>
    <x v="0"/>
    <x v="196"/>
    <x v="0"/>
  </r>
  <r>
    <x v="207"/>
    <x v="0"/>
    <x v="0"/>
    <x v="0"/>
    <x v="0"/>
    <x v="0"/>
    <x v="185"/>
    <n v="1083"/>
    <n v="146"/>
    <n v="360"/>
    <x v="0"/>
    <s v="Semiurban"/>
    <x v="0"/>
    <x v="197"/>
    <x v="0"/>
  </r>
  <r>
    <x v="208"/>
    <x v="1"/>
    <x v="1"/>
    <x v="0"/>
    <x v="0"/>
    <x v="0"/>
    <x v="186"/>
    <n v="0"/>
    <n v="80"/>
    <n v="360"/>
    <x v="0"/>
    <s v="Urban"/>
    <x v="0"/>
    <x v="198"/>
    <x v="0"/>
  </r>
  <r>
    <x v="209"/>
    <x v="2"/>
    <x v="1"/>
    <x v="1"/>
    <x v="1"/>
    <x v="0"/>
    <x v="187"/>
    <n v="4027"/>
    <n v="100"/>
    <n v="360"/>
    <x v="0"/>
    <s v="Rural"/>
    <x v="1"/>
    <x v="199"/>
    <x v="1"/>
  </r>
  <r>
    <x v="210"/>
    <x v="1"/>
    <x v="1"/>
    <x v="0"/>
    <x v="0"/>
    <x v="0"/>
    <x v="188"/>
    <n v="0"/>
    <n v="55"/>
    <n v="360"/>
    <x v="0"/>
    <s v="Urban"/>
    <x v="1"/>
    <x v="200"/>
    <x v="1"/>
  </r>
  <r>
    <x v="211"/>
    <x v="0"/>
    <x v="1"/>
    <x v="2"/>
    <x v="0"/>
    <x v="0"/>
    <x v="189"/>
    <n v="2400"/>
    <n v="200"/>
    <n v="360"/>
    <x v="2"/>
    <s v="Rural"/>
    <x v="1"/>
    <x v="201"/>
    <x v="1"/>
  </r>
  <r>
    <x v="212"/>
    <x v="0"/>
    <x v="0"/>
    <x v="0"/>
    <x v="0"/>
    <x v="1"/>
    <x v="190"/>
    <n v="0"/>
    <n v="150"/>
    <n v="360"/>
    <x v="0"/>
    <s v="Semiurban"/>
    <x v="0"/>
    <x v="202"/>
    <x v="0"/>
  </r>
  <r>
    <x v="213"/>
    <x v="0"/>
    <x v="1"/>
    <x v="0"/>
    <x v="0"/>
    <x v="0"/>
    <x v="191"/>
    <n v="0"/>
    <n v="150"/>
    <n v="360"/>
    <x v="0"/>
    <s v="Rural"/>
    <x v="0"/>
    <x v="203"/>
    <x v="0"/>
  </r>
  <r>
    <x v="214"/>
    <x v="0"/>
    <x v="0"/>
    <x v="0"/>
    <x v="1"/>
    <x v="0"/>
    <x v="192"/>
    <n v="3719"/>
    <n v="118"/>
    <m/>
    <x v="0"/>
    <s v="Rural"/>
    <x v="0"/>
    <x v="204"/>
    <x v="0"/>
  </r>
  <r>
    <x v="215"/>
    <x v="0"/>
    <x v="0"/>
    <x v="1"/>
    <x v="1"/>
    <x v="0"/>
    <x v="193"/>
    <n v="2130"/>
    <n v="150"/>
    <n v="300"/>
    <x v="0"/>
    <s v="Urban"/>
    <x v="1"/>
    <x v="205"/>
    <x v="1"/>
  </r>
  <r>
    <x v="216"/>
    <x v="0"/>
    <x v="0"/>
    <x v="0"/>
    <x v="1"/>
    <x v="0"/>
    <x v="194"/>
    <n v="2458"/>
    <n v="118"/>
    <n v="36"/>
    <x v="0"/>
    <s v="Semiurban"/>
    <x v="1"/>
    <x v="206"/>
    <x v="1"/>
  </r>
  <r>
    <x v="217"/>
    <x v="0"/>
    <x v="0"/>
    <x v="0"/>
    <x v="0"/>
    <x v="0"/>
    <x v="195"/>
    <n v="2183"/>
    <n v="212"/>
    <n v="360"/>
    <x v="0"/>
    <s v="Rural"/>
    <x v="1"/>
    <x v="207"/>
    <x v="1"/>
  </r>
  <r>
    <x v="218"/>
    <x v="0"/>
    <x v="0"/>
    <x v="0"/>
    <x v="0"/>
    <x v="1"/>
    <x v="196"/>
    <n v="3148"/>
    <n v="212"/>
    <n v="360"/>
    <x v="0"/>
    <s v="Rural"/>
    <x v="1"/>
    <x v="208"/>
    <x v="1"/>
  </r>
  <r>
    <x v="219"/>
    <x v="0"/>
    <x v="0"/>
    <x v="3"/>
    <x v="0"/>
    <x v="0"/>
    <x v="197"/>
    <n v="2139"/>
    <n v="125"/>
    <n v="360"/>
    <x v="0"/>
    <s v="Urban"/>
    <x v="0"/>
    <x v="209"/>
    <x v="0"/>
  </r>
  <r>
    <x v="220"/>
    <x v="0"/>
    <x v="0"/>
    <x v="3"/>
    <x v="0"/>
    <x v="0"/>
    <x v="198"/>
    <n v="2166"/>
    <n v="108"/>
    <n v="360"/>
    <x v="1"/>
    <s v="Urban"/>
    <x v="1"/>
    <x v="210"/>
    <x v="1"/>
  </r>
  <r>
    <x v="221"/>
    <x v="0"/>
    <x v="0"/>
    <x v="0"/>
    <x v="1"/>
    <x v="0"/>
    <x v="51"/>
    <n v="2168"/>
    <n v="149"/>
    <n v="360"/>
    <x v="0"/>
    <s v="Rural"/>
    <x v="0"/>
    <x v="211"/>
    <x v="0"/>
  </r>
  <r>
    <x v="222"/>
    <x v="0"/>
    <x v="0"/>
    <x v="0"/>
    <x v="1"/>
    <x v="0"/>
    <x v="199"/>
    <n v="0"/>
    <n v="80"/>
    <n v="480"/>
    <x v="0"/>
    <s v="Urban"/>
    <x v="1"/>
    <x v="212"/>
    <x v="1"/>
  </r>
  <r>
    <x v="223"/>
    <x v="1"/>
    <x v="1"/>
    <x v="0"/>
    <x v="0"/>
    <x v="0"/>
    <x v="200"/>
    <n v="0"/>
    <n v="152"/>
    <n v="300"/>
    <x v="0"/>
    <s v="Rural"/>
    <x v="0"/>
    <x v="213"/>
    <x v="0"/>
  </r>
  <r>
    <x v="224"/>
    <x v="1"/>
    <x v="1"/>
    <x v="0"/>
    <x v="0"/>
    <x v="1"/>
    <x v="201"/>
    <n v="0"/>
    <n v="187"/>
    <n v="360"/>
    <x v="2"/>
    <s v="Semiurban"/>
    <x v="1"/>
    <x v="214"/>
    <x v="1"/>
  </r>
  <r>
    <x v="225"/>
    <x v="1"/>
    <x v="1"/>
    <x v="0"/>
    <x v="0"/>
    <x v="0"/>
    <x v="202"/>
    <n v="0"/>
    <n v="74"/>
    <n v="360"/>
    <x v="0"/>
    <s v="Urban"/>
    <x v="1"/>
    <x v="215"/>
    <x v="1"/>
  </r>
  <r>
    <x v="226"/>
    <x v="0"/>
    <x v="0"/>
    <x v="0"/>
    <x v="0"/>
    <x v="0"/>
    <x v="203"/>
    <n v="1768"/>
    <n v="102"/>
    <n v="360"/>
    <x v="0"/>
    <s v="Urban"/>
    <x v="1"/>
    <x v="216"/>
    <x v="1"/>
  </r>
  <r>
    <x v="227"/>
    <x v="0"/>
    <x v="0"/>
    <x v="0"/>
    <x v="0"/>
    <x v="0"/>
    <x v="204"/>
    <n v="3809"/>
    <n v="100"/>
    <n v="360"/>
    <x v="0"/>
    <s v="Rural"/>
    <x v="0"/>
    <x v="217"/>
    <x v="0"/>
  </r>
  <r>
    <x v="228"/>
    <x v="0"/>
    <x v="1"/>
    <x v="3"/>
    <x v="0"/>
    <x v="0"/>
    <x v="205"/>
    <n v="2755"/>
    <n v="130"/>
    <n v="360"/>
    <x v="0"/>
    <s v="Rural"/>
    <x v="1"/>
    <x v="218"/>
    <x v="1"/>
  </r>
  <r>
    <x v="229"/>
    <x v="0"/>
    <x v="0"/>
    <x v="4"/>
    <x v="1"/>
    <x v="0"/>
    <x v="206"/>
    <n v="0"/>
    <n v="125"/>
    <n v="360"/>
    <x v="2"/>
    <s v="Urban"/>
    <x v="1"/>
    <x v="219"/>
    <x v="1"/>
  </r>
  <r>
    <x v="230"/>
    <x v="0"/>
    <x v="1"/>
    <x v="0"/>
    <x v="0"/>
    <x v="0"/>
    <x v="207"/>
    <n v="14507"/>
    <n v="130"/>
    <n v="360"/>
    <x v="0"/>
    <s v="Semiurban"/>
    <x v="0"/>
    <x v="220"/>
    <x v="0"/>
  </r>
  <r>
    <x v="231"/>
    <x v="2"/>
    <x v="1"/>
    <x v="0"/>
    <x v="0"/>
    <x v="1"/>
    <x v="208"/>
    <n v="2988"/>
    <n v="138"/>
    <n v="360"/>
    <x v="0"/>
    <s v="Urban"/>
    <x v="1"/>
    <x v="221"/>
    <x v="1"/>
  </r>
  <r>
    <x v="232"/>
    <x v="0"/>
    <x v="0"/>
    <x v="2"/>
    <x v="0"/>
    <x v="0"/>
    <x v="209"/>
    <n v="1594"/>
    <n v="28"/>
    <n v="180"/>
    <x v="0"/>
    <s v="Rural"/>
    <x v="1"/>
    <x v="222"/>
    <x v="1"/>
  </r>
  <r>
    <x v="233"/>
    <x v="1"/>
    <x v="1"/>
    <x v="4"/>
    <x v="0"/>
    <x v="0"/>
    <x v="210"/>
    <n v="0"/>
    <n v="92"/>
    <n v="360"/>
    <x v="0"/>
    <s v="Semiurban"/>
    <x v="0"/>
    <x v="223"/>
    <x v="0"/>
  </r>
  <r>
    <x v="234"/>
    <x v="1"/>
    <x v="0"/>
    <x v="1"/>
    <x v="0"/>
    <x v="0"/>
    <x v="211"/>
    <n v="1788"/>
    <n v="104"/>
    <n v="360"/>
    <x v="0"/>
    <s v="Urban"/>
    <x v="1"/>
    <x v="224"/>
    <x v="1"/>
  </r>
  <r>
    <x v="235"/>
    <x v="0"/>
    <x v="1"/>
    <x v="3"/>
    <x v="0"/>
    <x v="0"/>
    <x v="212"/>
    <n v="2774"/>
    <n v="176"/>
    <n v="360"/>
    <x v="2"/>
    <s v="Urban"/>
    <x v="1"/>
    <x v="225"/>
    <x v="1"/>
  </r>
  <r>
    <x v="236"/>
    <x v="1"/>
    <x v="1"/>
    <x v="1"/>
    <x v="0"/>
    <x v="0"/>
    <x v="213"/>
    <n v="5211"/>
    <n v="117"/>
    <n v="360"/>
    <x v="2"/>
    <s v="Semiurban"/>
    <x v="1"/>
    <x v="226"/>
    <x v="1"/>
  </r>
  <r>
    <x v="237"/>
    <x v="0"/>
    <x v="0"/>
    <x v="0"/>
    <x v="1"/>
    <x v="0"/>
    <x v="214"/>
    <n v="13983"/>
    <n v="102"/>
    <n v="360"/>
    <x v="0"/>
    <s v="Rural"/>
    <x v="0"/>
    <x v="227"/>
    <x v="0"/>
  </r>
  <r>
    <x v="238"/>
    <x v="0"/>
    <x v="0"/>
    <x v="0"/>
    <x v="1"/>
    <x v="0"/>
    <x v="215"/>
    <n v="1110"/>
    <n v="107"/>
    <n v="360"/>
    <x v="0"/>
    <s v="Semiurban"/>
    <x v="1"/>
    <x v="228"/>
    <x v="1"/>
  </r>
  <r>
    <x v="239"/>
    <x v="0"/>
    <x v="1"/>
    <x v="0"/>
    <x v="0"/>
    <x v="0"/>
    <x v="143"/>
    <n v="0"/>
    <n v="66"/>
    <n v="480"/>
    <x v="0"/>
    <s v="Urban"/>
    <x v="0"/>
    <x v="51"/>
    <x v="0"/>
  </r>
  <r>
    <x v="240"/>
    <x v="0"/>
    <x v="1"/>
    <x v="0"/>
    <x v="1"/>
    <x v="0"/>
    <x v="216"/>
    <n v="0"/>
    <n v="105"/>
    <n v="360"/>
    <x v="0"/>
    <s v="Urban"/>
    <x v="0"/>
    <x v="229"/>
    <x v="0"/>
  </r>
  <r>
    <x v="241"/>
    <x v="0"/>
    <x v="0"/>
    <x v="1"/>
    <x v="0"/>
    <x v="0"/>
    <x v="217"/>
    <n v="1517"/>
    <n v="105"/>
    <n v="360"/>
    <x v="2"/>
    <s v="Semiurban"/>
    <x v="1"/>
    <x v="230"/>
    <x v="1"/>
  </r>
  <r>
    <x v="242"/>
    <x v="0"/>
    <x v="0"/>
    <x v="2"/>
    <x v="0"/>
    <x v="0"/>
    <x v="218"/>
    <n v="828"/>
    <n v="105"/>
    <n v="360"/>
    <x v="0"/>
    <s v="Semiurban"/>
    <x v="0"/>
    <x v="231"/>
    <x v="0"/>
  </r>
  <r>
    <x v="243"/>
    <x v="0"/>
    <x v="0"/>
    <x v="0"/>
    <x v="0"/>
    <x v="2"/>
    <x v="219"/>
    <n v="1704"/>
    <n v="125"/>
    <n v="360"/>
    <x v="2"/>
    <s v="Rural"/>
    <x v="1"/>
    <x v="232"/>
    <x v="1"/>
  </r>
  <r>
    <x v="244"/>
    <x v="1"/>
    <x v="1"/>
    <x v="0"/>
    <x v="1"/>
    <x v="0"/>
    <x v="220"/>
    <n v="0"/>
    <n v="64"/>
    <n v="360"/>
    <x v="0"/>
    <s v="Semiurban"/>
    <x v="1"/>
    <x v="233"/>
    <x v="1"/>
  </r>
  <r>
    <x v="245"/>
    <x v="2"/>
    <x v="0"/>
    <x v="1"/>
    <x v="0"/>
    <x v="0"/>
    <x v="221"/>
    <n v="3145"/>
    <n v="150"/>
    <n v="180"/>
    <x v="2"/>
    <s v="Semiurban"/>
    <x v="1"/>
    <x v="234"/>
    <x v="1"/>
  </r>
  <r>
    <x v="246"/>
    <x v="0"/>
    <x v="0"/>
    <x v="3"/>
    <x v="0"/>
    <x v="1"/>
    <x v="2"/>
    <n v="2166"/>
    <n v="150"/>
    <n v="360"/>
    <x v="0"/>
    <s v="Urban"/>
    <x v="0"/>
    <x v="235"/>
    <x v="0"/>
  </r>
  <r>
    <x v="247"/>
    <x v="0"/>
    <x v="0"/>
    <x v="4"/>
    <x v="0"/>
    <x v="0"/>
    <x v="173"/>
    <n v="0"/>
    <m/>
    <n v="360"/>
    <x v="0"/>
    <s v="Urban"/>
    <x v="0"/>
    <x v="236"/>
    <x v="0"/>
  </r>
  <r>
    <x v="248"/>
    <x v="0"/>
    <x v="0"/>
    <x v="1"/>
    <x v="1"/>
    <x v="1"/>
    <x v="222"/>
    <n v="0"/>
    <n v="64"/>
    <n v="360"/>
    <x v="0"/>
    <s v="Semiurban"/>
    <x v="0"/>
    <x v="237"/>
    <x v="0"/>
  </r>
  <r>
    <x v="249"/>
    <x v="0"/>
    <x v="1"/>
    <x v="1"/>
    <x v="0"/>
    <x v="0"/>
    <x v="223"/>
    <n v="0"/>
    <n v="40"/>
    <n v="180"/>
    <x v="0"/>
    <s v="Rural"/>
    <x v="1"/>
    <x v="238"/>
    <x v="1"/>
  </r>
  <r>
    <x v="250"/>
    <x v="0"/>
    <x v="0"/>
    <x v="3"/>
    <x v="0"/>
    <x v="0"/>
    <x v="224"/>
    <n v="437"/>
    <n v="142"/>
    <n v="480"/>
    <x v="2"/>
    <s v="Urban"/>
    <x v="1"/>
    <x v="239"/>
    <x v="1"/>
  </r>
  <r>
    <x v="251"/>
    <x v="0"/>
    <x v="0"/>
    <x v="0"/>
    <x v="0"/>
    <x v="0"/>
    <x v="225"/>
    <n v="0"/>
    <n v="70"/>
    <n v="300"/>
    <x v="0"/>
    <s v="Semiurban"/>
    <x v="0"/>
    <x v="240"/>
    <x v="0"/>
  </r>
  <r>
    <x v="252"/>
    <x v="1"/>
    <x v="1"/>
    <x v="2"/>
    <x v="0"/>
    <x v="0"/>
    <x v="226"/>
    <n v="0"/>
    <n v="131"/>
    <n v="360"/>
    <x v="0"/>
    <s v="Semiurban"/>
    <x v="0"/>
    <x v="241"/>
    <x v="0"/>
  </r>
  <r>
    <x v="253"/>
    <x v="0"/>
    <x v="0"/>
    <x v="0"/>
    <x v="0"/>
    <x v="0"/>
    <x v="227"/>
    <n v="1025"/>
    <n v="120"/>
    <n v="360"/>
    <x v="0"/>
    <s v="Urban"/>
    <x v="0"/>
    <x v="242"/>
    <x v="0"/>
  </r>
  <r>
    <x v="254"/>
    <x v="1"/>
    <x v="0"/>
    <x v="1"/>
    <x v="0"/>
    <x v="0"/>
    <x v="228"/>
    <n v="1585"/>
    <n v="114"/>
    <n v="360"/>
    <x v="0"/>
    <s v="Urban"/>
    <x v="0"/>
    <x v="243"/>
    <x v="0"/>
  </r>
  <r>
    <x v="255"/>
    <x v="0"/>
    <x v="1"/>
    <x v="3"/>
    <x v="0"/>
    <x v="2"/>
    <x v="229"/>
    <n v="0"/>
    <n v="123"/>
    <n v="360"/>
    <x v="2"/>
    <s v="Rural"/>
    <x v="1"/>
    <x v="244"/>
    <x v="1"/>
  </r>
  <r>
    <x v="256"/>
    <x v="1"/>
    <x v="0"/>
    <x v="0"/>
    <x v="0"/>
    <x v="0"/>
    <x v="230"/>
    <n v="0"/>
    <n v="92"/>
    <n v="360"/>
    <x v="0"/>
    <s v="Rural"/>
    <x v="0"/>
    <x v="245"/>
    <x v="0"/>
  </r>
  <r>
    <x v="257"/>
    <x v="0"/>
    <x v="0"/>
    <x v="2"/>
    <x v="0"/>
    <x v="0"/>
    <x v="95"/>
    <n v="4288"/>
    <n v="160"/>
    <n v="360"/>
    <x v="0"/>
    <s v="Urban"/>
    <x v="0"/>
    <x v="246"/>
    <x v="0"/>
  </r>
  <r>
    <x v="258"/>
    <x v="0"/>
    <x v="0"/>
    <x v="0"/>
    <x v="0"/>
    <x v="0"/>
    <x v="231"/>
    <n v="3725"/>
    <n v="151"/>
    <n v="360"/>
    <x v="0"/>
    <s v="Rural"/>
    <x v="0"/>
    <x v="247"/>
    <x v="0"/>
  </r>
  <r>
    <x v="259"/>
    <x v="1"/>
    <x v="1"/>
    <x v="0"/>
    <x v="0"/>
    <x v="2"/>
    <x v="232"/>
    <n v="4583"/>
    <n v="81"/>
    <n v="360"/>
    <x v="1"/>
    <s v="Rural"/>
    <x v="1"/>
    <x v="248"/>
    <x v="1"/>
  </r>
  <r>
    <x v="260"/>
    <x v="0"/>
    <x v="0"/>
    <x v="2"/>
    <x v="1"/>
    <x v="0"/>
    <x v="233"/>
    <n v="2619"/>
    <n v="171"/>
    <n v="360"/>
    <x v="0"/>
    <s v="Semiurban"/>
    <x v="1"/>
    <x v="249"/>
    <x v="1"/>
  </r>
  <r>
    <x v="261"/>
    <x v="0"/>
    <x v="0"/>
    <x v="0"/>
    <x v="0"/>
    <x v="0"/>
    <x v="234"/>
    <n v="1550"/>
    <n v="110"/>
    <n v="360"/>
    <x v="0"/>
    <s v="Semiurban"/>
    <x v="1"/>
    <x v="250"/>
    <x v="1"/>
  </r>
  <r>
    <x v="262"/>
    <x v="0"/>
    <x v="1"/>
    <x v="0"/>
    <x v="0"/>
    <x v="0"/>
    <x v="103"/>
    <n v="738"/>
    <n v="100"/>
    <n v="360"/>
    <x v="1"/>
    <s v="Rural"/>
    <x v="1"/>
    <x v="251"/>
    <x v="1"/>
  </r>
  <r>
    <x v="263"/>
    <x v="0"/>
    <x v="0"/>
    <x v="0"/>
    <x v="0"/>
    <x v="0"/>
    <x v="235"/>
    <n v="0"/>
    <n v="234"/>
    <n v="360"/>
    <x v="0"/>
    <s v="Rural"/>
    <x v="1"/>
    <x v="252"/>
    <x v="1"/>
  </r>
  <r>
    <x v="264"/>
    <x v="0"/>
    <x v="0"/>
    <x v="0"/>
    <x v="0"/>
    <x v="0"/>
    <x v="236"/>
    <n v="1120"/>
    <n v="184"/>
    <n v="360"/>
    <x v="0"/>
    <s v="Rural"/>
    <x v="1"/>
    <x v="253"/>
    <x v="1"/>
  </r>
  <r>
    <x v="265"/>
    <x v="0"/>
    <x v="1"/>
    <x v="0"/>
    <x v="0"/>
    <x v="0"/>
    <x v="237"/>
    <n v="3308"/>
    <n v="138"/>
    <n v="360"/>
    <x v="1"/>
    <s v="Semiurban"/>
    <x v="1"/>
    <x v="254"/>
    <x v="1"/>
  </r>
  <r>
    <x v="266"/>
    <x v="1"/>
    <x v="0"/>
    <x v="3"/>
    <x v="1"/>
    <x v="0"/>
    <x v="238"/>
    <n v="1400"/>
    <n v="112"/>
    <n v="480"/>
    <x v="2"/>
    <s v="Urban"/>
    <x v="1"/>
    <x v="255"/>
    <x v="1"/>
  </r>
  <r>
    <x v="267"/>
    <x v="1"/>
    <x v="1"/>
    <x v="1"/>
    <x v="1"/>
    <x v="0"/>
    <x v="239"/>
    <n v="3575"/>
    <n v="117"/>
    <n v="360"/>
    <x v="0"/>
    <s v="Rural"/>
    <x v="0"/>
    <x v="256"/>
    <x v="0"/>
  </r>
  <r>
    <x v="268"/>
    <x v="0"/>
    <x v="0"/>
    <x v="0"/>
    <x v="0"/>
    <x v="0"/>
    <x v="38"/>
    <n v="750"/>
    <n v="49"/>
    <n v="360"/>
    <x v="2"/>
    <s v="Rural"/>
    <x v="1"/>
    <x v="257"/>
    <x v="1"/>
  </r>
  <r>
    <x v="269"/>
    <x v="0"/>
    <x v="1"/>
    <x v="0"/>
    <x v="0"/>
    <x v="0"/>
    <x v="240"/>
    <n v="0"/>
    <n v="99"/>
    <n v="360"/>
    <x v="0"/>
    <s v="Rural"/>
    <x v="0"/>
    <x v="20"/>
    <x v="0"/>
  </r>
  <r>
    <x v="270"/>
    <x v="1"/>
    <x v="0"/>
    <x v="0"/>
    <x v="1"/>
    <x v="0"/>
    <x v="241"/>
    <n v="2444"/>
    <n v="99"/>
    <n v="360"/>
    <x v="0"/>
    <s v="Urban"/>
    <x v="1"/>
    <x v="258"/>
    <x v="1"/>
  </r>
  <r>
    <x v="271"/>
    <x v="1"/>
    <x v="1"/>
    <x v="1"/>
    <x v="0"/>
    <x v="1"/>
    <x v="95"/>
    <n v="3916"/>
    <n v="212"/>
    <n v="360"/>
    <x v="0"/>
    <s v="Rural"/>
    <x v="1"/>
    <x v="259"/>
    <x v="1"/>
  </r>
  <r>
    <x v="272"/>
    <x v="0"/>
    <x v="1"/>
    <x v="0"/>
    <x v="0"/>
    <x v="0"/>
    <x v="242"/>
    <n v="0"/>
    <n v="240"/>
    <n v="360"/>
    <x v="0"/>
    <s v="Semiurban"/>
    <x v="1"/>
    <x v="260"/>
    <x v="1"/>
  </r>
  <r>
    <x v="273"/>
    <x v="0"/>
    <x v="0"/>
    <x v="3"/>
    <x v="0"/>
    <x v="0"/>
    <x v="15"/>
    <n v="440"/>
    <n v="130"/>
    <n v="360"/>
    <x v="2"/>
    <s v="Semiurban"/>
    <x v="1"/>
    <x v="261"/>
    <x v="1"/>
  </r>
  <r>
    <x v="274"/>
    <x v="1"/>
    <x v="1"/>
    <x v="0"/>
    <x v="0"/>
    <x v="0"/>
    <x v="51"/>
    <n v="0"/>
    <n v="94"/>
    <n v="360"/>
    <x v="2"/>
    <s v="Semiurban"/>
    <x v="1"/>
    <x v="262"/>
    <x v="1"/>
  </r>
  <r>
    <x v="275"/>
    <x v="0"/>
    <x v="0"/>
    <x v="0"/>
    <x v="0"/>
    <x v="0"/>
    <x v="243"/>
    <n v="1497"/>
    <n v="108"/>
    <n v="360"/>
    <x v="0"/>
    <s v="Semiurban"/>
    <x v="1"/>
    <x v="263"/>
    <x v="1"/>
  </r>
  <r>
    <x v="276"/>
    <x v="0"/>
    <x v="0"/>
    <x v="1"/>
    <x v="0"/>
    <x v="2"/>
    <x v="43"/>
    <n v="0"/>
    <n v="144"/>
    <n v="360"/>
    <x v="0"/>
    <s v="Urban"/>
    <x v="0"/>
    <x v="65"/>
    <x v="0"/>
  </r>
  <r>
    <x v="277"/>
    <x v="1"/>
    <x v="1"/>
    <x v="0"/>
    <x v="0"/>
    <x v="0"/>
    <x v="244"/>
    <n v="0"/>
    <n v="110"/>
    <n v="180"/>
    <x v="0"/>
    <s v="Semiurban"/>
    <x v="0"/>
    <x v="264"/>
    <x v="0"/>
  </r>
  <r>
    <x v="278"/>
    <x v="0"/>
    <x v="0"/>
    <x v="0"/>
    <x v="1"/>
    <x v="2"/>
    <x v="245"/>
    <n v="910"/>
    <n v="176"/>
    <n v="360"/>
    <x v="2"/>
    <s v="Semiurban"/>
    <x v="1"/>
    <x v="265"/>
    <x v="1"/>
  </r>
  <r>
    <x v="279"/>
    <x v="2"/>
    <x v="1"/>
    <x v="0"/>
    <x v="0"/>
    <x v="0"/>
    <x v="246"/>
    <n v="0"/>
    <n v="185"/>
    <n v="360"/>
    <x v="0"/>
    <s v="Semiurban"/>
    <x v="0"/>
    <x v="266"/>
    <x v="0"/>
  </r>
  <r>
    <x v="280"/>
    <x v="0"/>
    <x v="1"/>
    <x v="3"/>
    <x v="0"/>
    <x v="0"/>
    <x v="198"/>
    <n v="2057"/>
    <n v="122"/>
    <n v="360"/>
    <x v="0"/>
    <s v="Semiurban"/>
    <x v="1"/>
    <x v="267"/>
    <x v="1"/>
  </r>
  <r>
    <x v="281"/>
    <x v="0"/>
    <x v="0"/>
    <x v="3"/>
    <x v="0"/>
    <x v="0"/>
    <x v="2"/>
    <n v="0"/>
    <n v="126"/>
    <n v="360"/>
    <x v="0"/>
    <s v="Rural"/>
    <x v="0"/>
    <x v="147"/>
    <x v="0"/>
  </r>
  <r>
    <x v="282"/>
    <x v="1"/>
    <x v="1"/>
    <x v="1"/>
    <x v="0"/>
    <x v="0"/>
    <x v="247"/>
    <n v="0"/>
    <n v="135"/>
    <n v="360"/>
    <x v="1"/>
    <s v="Urban"/>
    <x v="1"/>
    <x v="268"/>
    <x v="1"/>
  </r>
  <r>
    <x v="283"/>
    <x v="0"/>
    <x v="1"/>
    <x v="1"/>
    <x v="1"/>
    <x v="0"/>
    <x v="248"/>
    <n v="0"/>
    <n v="122"/>
    <n v="360"/>
    <x v="0"/>
    <s v="Rural"/>
    <x v="0"/>
    <x v="269"/>
    <x v="0"/>
  </r>
  <r>
    <x v="284"/>
    <x v="1"/>
    <x v="0"/>
    <x v="4"/>
    <x v="0"/>
    <x v="0"/>
    <x v="173"/>
    <n v="11666"/>
    <n v="460"/>
    <n v="360"/>
    <x v="0"/>
    <s v="Urban"/>
    <x v="1"/>
    <x v="270"/>
    <x v="1"/>
  </r>
  <r>
    <x v="285"/>
    <x v="0"/>
    <x v="0"/>
    <x v="1"/>
    <x v="0"/>
    <x v="2"/>
    <x v="249"/>
    <n v="0"/>
    <n v="297"/>
    <n v="360"/>
    <x v="0"/>
    <s v="Urban"/>
    <x v="1"/>
    <x v="271"/>
    <x v="1"/>
  </r>
  <r>
    <x v="286"/>
    <x v="0"/>
    <x v="0"/>
    <x v="0"/>
    <x v="1"/>
    <x v="0"/>
    <x v="211"/>
    <n v="2730"/>
    <n v="140"/>
    <n v="360"/>
    <x v="1"/>
    <s v="Rural"/>
    <x v="1"/>
    <x v="272"/>
    <x v="1"/>
  </r>
  <r>
    <x v="287"/>
    <x v="0"/>
    <x v="1"/>
    <x v="3"/>
    <x v="0"/>
    <x v="2"/>
    <x v="250"/>
    <n v="4347"/>
    <n v="106"/>
    <n v="360"/>
    <x v="0"/>
    <s v="Rural"/>
    <x v="1"/>
    <x v="273"/>
    <x v="1"/>
  </r>
  <r>
    <x v="288"/>
    <x v="0"/>
    <x v="1"/>
    <x v="3"/>
    <x v="0"/>
    <x v="0"/>
    <x v="251"/>
    <n v="0"/>
    <n v="141"/>
    <n v="360"/>
    <x v="0"/>
    <s v="Urban"/>
    <x v="0"/>
    <x v="274"/>
    <x v="0"/>
  </r>
  <r>
    <x v="289"/>
    <x v="0"/>
    <x v="0"/>
    <x v="3"/>
    <x v="0"/>
    <x v="0"/>
    <x v="252"/>
    <n v="4000"/>
    <m/>
    <n v="360"/>
    <x v="0"/>
    <s v="Urban"/>
    <x v="0"/>
    <x v="275"/>
    <x v="0"/>
  </r>
  <r>
    <x v="290"/>
    <x v="0"/>
    <x v="0"/>
    <x v="1"/>
    <x v="0"/>
    <x v="0"/>
    <x v="253"/>
    <n v="2000"/>
    <n v="170"/>
    <n v="360"/>
    <x v="0"/>
    <s v="Semiurban"/>
    <x v="0"/>
    <x v="15"/>
    <x v="0"/>
  </r>
  <r>
    <x v="291"/>
    <x v="0"/>
    <x v="0"/>
    <x v="0"/>
    <x v="0"/>
    <x v="0"/>
    <x v="254"/>
    <n v="2833"/>
    <n v="145"/>
    <n v="360"/>
    <x v="0"/>
    <s v="Urban"/>
    <x v="0"/>
    <x v="276"/>
    <x v="0"/>
  </r>
  <r>
    <x v="292"/>
    <x v="0"/>
    <x v="1"/>
    <x v="0"/>
    <x v="1"/>
    <x v="0"/>
    <x v="255"/>
    <n v="0"/>
    <n v="90"/>
    <n v="360"/>
    <x v="0"/>
    <s v="Rural"/>
    <x v="0"/>
    <x v="277"/>
    <x v="0"/>
  </r>
  <r>
    <x v="293"/>
    <x v="1"/>
    <x v="0"/>
    <x v="2"/>
    <x v="0"/>
    <x v="0"/>
    <x v="256"/>
    <n v="2000"/>
    <n v="88"/>
    <n v="360"/>
    <x v="2"/>
    <s v="Urban"/>
    <x v="1"/>
    <x v="278"/>
    <x v="1"/>
  </r>
  <r>
    <x v="294"/>
    <x v="0"/>
    <x v="0"/>
    <x v="4"/>
    <x v="1"/>
    <x v="2"/>
    <x v="257"/>
    <n v="2565"/>
    <n v="128"/>
    <n v="360"/>
    <x v="0"/>
    <s v="Urban"/>
    <x v="1"/>
    <x v="279"/>
    <x v="1"/>
  </r>
  <r>
    <x v="295"/>
    <x v="1"/>
    <x v="0"/>
    <x v="3"/>
    <x v="0"/>
    <x v="0"/>
    <x v="258"/>
    <n v="0"/>
    <n v="84"/>
    <n v="480"/>
    <x v="0"/>
    <s v="Semiurban"/>
    <x v="1"/>
    <x v="280"/>
    <x v="1"/>
  </r>
  <r>
    <x v="296"/>
    <x v="2"/>
    <x v="1"/>
    <x v="0"/>
    <x v="0"/>
    <x v="0"/>
    <x v="259"/>
    <n v="0"/>
    <n v="108"/>
    <n v="360"/>
    <x v="0"/>
    <s v="Semiurban"/>
    <x v="0"/>
    <x v="281"/>
    <x v="0"/>
  </r>
  <r>
    <x v="297"/>
    <x v="0"/>
    <x v="1"/>
    <x v="0"/>
    <x v="1"/>
    <x v="2"/>
    <x v="260"/>
    <n v="0"/>
    <n v="83"/>
    <n v="360"/>
    <x v="0"/>
    <s v="Rural"/>
    <x v="0"/>
    <x v="282"/>
    <x v="0"/>
  </r>
  <r>
    <x v="298"/>
    <x v="1"/>
    <x v="0"/>
    <x v="0"/>
    <x v="1"/>
    <x v="0"/>
    <x v="261"/>
    <n v="0"/>
    <n v="117"/>
    <n v="360"/>
    <x v="0"/>
    <s v="Semiurban"/>
    <x v="0"/>
    <x v="283"/>
    <x v="0"/>
  </r>
  <r>
    <x v="299"/>
    <x v="0"/>
    <x v="0"/>
    <x v="0"/>
    <x v="0"/>
    <x v="0"/>
    <x v="262"/>
    <n v="0"/>
    <n v="128"/>
    <n v="360"/>
    <x v="0"/>
    <s v="Rural"/>
    <x v="0"/>
    <x v="284"/>
    <x v="0"/>
  </r>
  <r>
    <x v="300"/>
    <x v="0"/>
    <x v="0"/>
    <x v="0"/>
    <x v="0"/>
    <x v="1"/>
    <x v="27"/>
    <n v="0"/>
    <n v="75"/>
    <n v="360"/>
    <x v="0"/>
    <s v="Urban"/>
    <x v="0"/>
    <x v="125"/>
    <x v="0"/>
  </r>
  <r>
    <x v="301"/>
    <x v="0"/>
    <x v="0"/>
    <x v="0"/>
    <x v="0"/>
    <x v="2"/>
    <x v="263"/>
    <n v="0"/>
    <n v="125"/>
    <n v="360"/>
    <x v="2"/>
    <s v="Urban"/>
    <x v="1"/>
    <x v="285"/>
    <x v="1"/>
  </r>
  <r>
    <x v="302"/>
    <x v="1"/>
    <x v="1"/>
    <x v="1"/>
    <x v="0"/>
    <x v="1"/>
    <x v="264"/>
    <n v="0"/>
    <n v="177"/>
    <n v="360"/>
    <x v="0"/>
    <s v="Rural"/>
    <x v="0"/>
    <x v="286"/>
    <x v="0"/>
  </r>
  <r>
    <x v="303"/>
    <x v="2"/>
    <x v="0"/>
    <x v="0"/>
    <x v="1"/>
    <x v="1"/>
    <x v="265"/>
    <n v="2125"/>
    <n v="68"/>
    <n v="360"/>
    <x v="0"/>
    <s v="Rural"/>
    <x v="1"/>
    <x v="287"/>
    <x v="1"/>
  </r>
  <r>
    <x v="304"/>
    <x v="0"/>
    <x v="0"/>
    <x v="2"/>
    <x v="0"/>
    <x v="0"/>
    <x v="266"/>
    <n v="700"/>
    <n v="96"/>
    <n v="360"/>
    <x v="0"/>
    <s v="Semiurban"/>
    <x v="1"/>
    <x v="288"/>
    <x v="1"/>
  </r>
  <r>
    <x v="305"/>
    <x v="0"/>
    <x v="1"/>
    <x v="1"/>
    <x v="1"/>
    <x v="0"/>
    <x v="267"/>
    <n v="1083"/>
    <n v="180"/>
    <n v="360"/>
    <x v="1"/>
    <s v="Semiurban"/>
    <x v="1"/>
    <x v="289"/>
    <x v="1"/>
  </r>
  <r>
    <x v="306"/>
    <x v="0"/>
    <x v="0"/>
    <x v="0"/>
    <x v="0"/>
    <x v="1"/>
    <x v="27"/>
    <n v="0"/>
    <n v="183"/>
    <n v="360"/>
    <x v="0"/>
    <s v="Rural"/>
    <x v="0"/>
    <x v="125"/>
    <x v="0"/>
  </r>
  <r>
    <x v="307"/>
    <x v="0"/>
    <x v="0"/>
    <x v="0"/>
    <x v="1"/>
    <x v="0"/>
    <x v="268"/>
    <n v="0"/>
    <n v="121"/>
    <n v="360"/>
    <x v="0"/>
    <s v="Rural"/>
    <x v="0"/>
    <x v="290"/>
    <x v="0"/>
  </r>
  <r>
    <x v="308"/>
    <x v="0"/>
    <x v="0"/>
    <x v="1"/>
    <x v="0"/>
    <x v="0"/>
    <x v="269"/>
    <n v="0"/>
    <n v="162"/>
    <n v="360"/>
    <x v="0"/>
    <s v="Rural"/>
    <x v="0"/>
    <x v="291"/>
    <x v="0"/>
  </r>
  <r>
    <x v="309"/>
    <x v="0"/>
    <x v="0"/>
    <x v="3"/>
    <x v="0"/>
    <x v="0"/>
    <x v="270"/>
    <n v="4700"/>
    <n v="132"/>
    <n v="360"/>
    <x v="0"/>
    <s v="Semiurban"/>
    <x v="0"/>
    <x v="292"/>
    <x v="0"/>
  </r>
  <r>
    <x v="310"/>
    <x v="0"/>
    <x v="1"/>
    <x v="2"/>
    <x v="0"/>
    <x v="0"/>
    <x v="271"/>
    <n v="0"/>
    <n v="147"/>
    <n v="360"/>
    <x v="0"/>
    <s v="Urban"/>
    <x v="0"/>
    <x v="293"/>
    <x v="0"/>
  </r>
  <r>
    <x v="311"/>
    <x v="1"/>
    <x v="1"/>
    <x v="1"/>
    <x v="0"/>
    <x v="0"/>
    <x v="272"/>
    <n v="5272"/>
    <n v="153"/>
    <n v="360"/>
    <x v="2"/>
    <s v="Rural"/>
    <x v="1"/>
    <x v="294"/>
    <x v="1"/>
  </r>
  <r>
    <x v="312"/>
    <x v="0"/>
    <x v="1"/>
    <x v="0"/>
    <x v="0"/>
    <x v="0"/>
    <x v="273"/>
    <n v="2108"/>
    <n v="104"/>
    <n v="84"/>
    <x v="0"/>
    <s v="Urban"/>
    <x v="1"/>
    <x v="295"/>
    <x v="1"/>
  </r>
  <r>
    <x v="313"/>
    <x v="0"/>
    <x v="0"/>
    <x v="2"/>
    <x v="0"/>
    <x v="0"/>
    <x v="2"/>
    <n v="0"/>
    <n v="149"/>
    <n v="360"/>
    <x v="0"/>
    <s v="Rural"/>
    <x v="0"/>
    <x v="147"/>
    <x v="0"/>
  </r>
  <r>
    <x v="314"/>
    <x v="1"/>
    <x v="1"/>
    <x v="1"/>
    <x v="0"/>
    <x v="0"/>
    <x v="274"/>
    <n v="0"/>
    <n v="134"/>
    <n v="300"/>
    <x v="0"/>
    <s v="Urban"/>
    <x v="0"/>
    <x v="296"/>
    <x v="0"/>
  </r>
  <r>
    <x v="315"/>
    <x v="1"/>
    <x v="0"/>
    <x v="0"/>
    <x v="0"/>
    <x v="0"/>
    <x v="275"/>
    <n v="879"/>
    <n v="165"/>
    <n v="180"/>
    <x v="0"/>
    <s v="Semiurban"/>
    <x v="0"/>
    <x v="297"/>
    <x v="0"/>
  </r>
  <r>
    <x v="316"/>
    <x v="1"/>
    <x v="0"/>
    <x v="0"/>
    <x v="0"/>
    <x v="0"/>
    <x v="276"/>
    <n v="0"/>
    <n v="120"/>
    <n v="360"/>
    <x v="0"/>
    <s v="Rural"/>
    <x v="0"/>
    <x v="298"/>
    <x v="0"/>
  </r>
  <r>
    <x v="317"/>
    <x v="0"/>
    <x v="0"/>
    <x v="3"/>
    <x v="1"/>
    <x v="0"/>
    <x v="277"/>
    <n v="2900"/>
    <n v="67"/>
    <n v="360"/>
    <x v="2"/>
    <s v="Urban"/>
    <x v="1"/>
    <x v="299"/>
    <x v="1"/>
  </r>
  <r>
    <x v="318"/>
    <x v="2"/>
    <x v="1"/>
    <x v="0"/>
    <x v="1"/>
    <x v="0"/>
    <x v="278"/>
    <n v="0"/>
    <n v="125"/>
    <n v="360"/>
    <x v="0"/>
    <s v="Rural"/>
    <x v="0"/>
    <x v="300"/>
    <x v="0"/>
  </r>
  <r>
    <x v="319"/>
    <x v="0"/>
    <x v="1"/>
    <x v="0"/>
    <x v="0"/>
    <x v="0"/>
    <x v="279"/>
    <n v="2738"/>
    <n v="120"/>
    <n v="360"/>
    <x v="0"/>
    <s v="Urban"/>
    <x v="0"/>
    <x v="301"/>
    <x v="0"/>
  </r>
  <r>
    <x v="320"/>
    <x v="0"/>
    <x v="0"/>
    <x v="1"/>
    <x v="0"/>
    <x v="0"/>
    <x v="280"/>
    <n v="1542"/>
    <n v="148"/>
    <n v="360"/>
    <x v="0"/>
    <s v="Rural"/>
    <x v="1"/>
    <x v="302"/>
    <x v="1"/>
  </r>
  <r>
    <x v="321"/>
    <x v="1"/>
    <x v="0"/>
    <x v="0"/>
    <x v="1"/>
    <x v="0"/>
    <x v="281"/>
    <n v="1762"/>
    <n v="181"/>
    <n v="360"/>
    <x v="0"/>
    <s v="Urban"/>
    <x v="1"/>
    <x v="303"/>
    <x v="1"/>
  </r>
  <r>
    <x v="322"/>
    <x v="0"/>
    <x v="0"/>
    <x v="0"/>
    <x v="0"/>
    <x v="0"/>
    <x v="282"/>
    <n v="0"/>
    <n v="80"/>
    <n v="120"/>
    <x v="0"/>
    <s v="Urban"/>
    <x v="0"/>
    <x v="304"/>
    <x v="0"/>
  </r>
  <r>
    <x v="323"/>
    <x v="0"/>
    <x v="1"/>
    <x v="0"/>
    <x v="0"/>
    <x v="2"/>
    <x v="283"/>
    <n v="5000"/>
    <n v="40"/>
    <n v="360"/>
    <x v="0"/>
    <s v="Semiurban"/>
    <x v="0"/>
    <x v="305"/>
    <x v="0"/>
  </r>
  <r>
    <x v="324"/>
    <x v="0"/>
    <x v="0"/>
    <x v="2"/>
    <x v="0"/>
    <x v="0"/>
    <x v="189"/>
    <n v="0"/>
    <n v="90"/>
    <n v="360"/>
    <x v="0"/>
    <s v="Rural"/>
    <x v="0"/>
    <x v="306"/>
    <x v="0"/>
  </r>
  <r>
    <x v="325"/>
    <x v="0"/>
    <x v="1"/>
    <x v="1"/>
    <x v="0"/>
    <x v="0"/>
    <x v="284"/>
    <n v="2416"/>
    <n v="95"/>
    <n v="6"/>
    <x v="2"/>
    <s v="Semiurban"/>
    <x v="1"/>
    <x v="307"/>
    <x v="1"/>
  </r>
  <r>
    <x v="326"/>
    <x v="0"/>
    <x v="0"/>
    <x v="0"/>
    <x v="1"/>
    <x v="2"/>
    <x v="266"/>
    <n v="618"/>
    <n v="122"/>
    <n v="360"/>
    <x v="0"/>
    <s v="Semiurban"/>
    <x v="1"/>
    <x v="308"/>
    <x v="1"/>
  </r>
  <r>
    <x v="327"/>
    <x v="0"/>
    <x v="0"/>
    <x v="2"/>
    <x v="0"/>
    <x v="0"/>
    <x v="285"/>
    <n v="700"/>
    <n v="150"/>
    <n v="360"/>
    <x v="0"/>
    <s v="Urban"/>
    <x v="0"/>
    <x v="309"/>
    <x v="0"/>
  </r>
  <r>
    <x v="328"/>
    <x v="0"/>
    <x v="0"/>
    <x v="0"/>
    <x v="0"/>
    <x v="1"/>
    <x v="286"/>
    <n v="1411"/>
    <n v="150"/>
    <n v="360"/>
    <x v="0"/>
    <s v="Rural"/>
    <x v="0"/>
    <x v="310"/>
    <x v="0"/>
  </r>
  <r>
    <x v="329"/>
    <x v="0"/>
    <x v="0"/>
    <x v="0"/>
    <x v="0"/>
    <x v="0"/>
    <x v="51"/>
    <n v="1658"/>
    <n v="104"/>
    <n v="360"/>
    <x v="1"/>
    <s v="Semiurban"/>
    <x v="1"/>
    <x v="311"/>
    <x v="1"/>
  </r>
  <r>
    <x v="330"/>
    <x v="0"/>
    <x v="0"/>
    <x v="3"/>
    <x v="0"/>
    <x v="0"/>
    <x v="287"/>
    <n v="0"/>
    <n v="143"/>
    <n v="360"/>
    <x v="0"/>
    <s v="Rural"/>
    <x v="0"/>
    <x v="312"/>
    <x v="0"/>
  </r>
  <r>
    <x v="331"/>
    <x v="0"/>
    <x v="0"/>
    <x v="0"/>
    <x v="0"/>
    <x v="0"/>
    <x v="288"/>
    <n v="0"/>
    <n v="300"/>
    <n v="360"/>
    <x v="0"/>
    <s v="Urban"/>
    <x v="1"/>
    <x v="313"/>
    <x v="1"/>
  </r>
  <r>
    <x v="332"/>
    <x v="1"/>
    <x v="0"/>
    <x v="3"/>
    <x v="1"/>
    <x v="0"/>
    <x v="289"/>
    <n v="2717"/>
    <n v="171"/>
    <n v="360"/>
    <x v="0"/>
    <s v="Urban"/>
    <x v="0"/>
    <x v="314"/>
    <x v="0"/>
  </r>
  <r>
    <x v="333"/>
    <x v="1"/>
    <x v="0"/>
    <x v="0"/>
    <x v="0"/>
    <x v="0"/>
    <x v="290"/>
    <n v="0"/>
    <n v="113"/>
    <n v="360"/>
    <x v="0"/>
    <s v="Semiurban"/>
    <x v="0"/>
    <x v="315"/>
    <x v="0"/>
  </r>
  <r>
    <x v="334"/>
    <x v="0"/>
    <x v="0"/>
    <x v="0"/>
    <x v="0"/>
    <x v="0"/>
    <x v="113"/>
    <n v="1951"/>
    <n v="35"/>
    <n v="360"/>
    <x v="0"/>
    <s v="Semiurban"/>
    <x v="1"/>
    <x v="316"/>
    <x v="1"/>
  </r>
  <r>
    <x v="335"/>
    <x v="0"/>
    <x v="1"/>
    <x v="0"/>
    <x v="0"/>
    <x v="0"/>
    <x v="9"/>
    <n v="0"/>
    <n v="46"/>
    <n v="360"/>
    <x v="0"/>
    <s v="Urban"/>
    <x v="1"/>
    <x v="317"/>
    <x v="1"/>
  </r>
  <r>
    <x v="336"/>
    <x v="1"/>
    <x v="1"/>
    <x v="2"/>
    <x v="1"/>
    <x v="0"/>
    <x v="291"/>
    <n v="2000"/>
    <n v="145"/>
    <n v="360"/>
    <x v="1"/>
    <s v="Urban"/>
    <x v="1"/>
    <x v="318"/>
    <x v="1"/>
  </r>
  <r>
    <x v="337"/>
    <x v="0"/>
    <x v="0"/>
    <x v="2"/>
    <x v="0"/>
    <x v="0"/>
    <x v="292"/>
    <n v="1558"/>
    <n v="119"/>
    <n v="360"/>
    <x v="0"/>
    <s v="Urban"/>
    <x v="1"/>
    <x v="319"/>
    <x v="1"/>
  </r>
  <r>
    <x v="338"/>
    <x v="0"/>
    <x v="0"/>
    <x v="1"/>
    <x v="0"/>
    <x v="1"/>
    <x v="293"/>
    <n v="3355"/>
    <n v="87"/>
    <n v="240"/>
    <x v="0"/>
    <s v="Rural"/>
    <x v="1"/>
    <x v="320"/>
    <x v="1"/>
  </r>
  <r>
    <x v="339"/>
    <x v="1"/>
    <x v="1"/>
    <x v="0"/>
    <x v="0"/>
    <x v="0"/>
    <x v="143"/>
    <n v="2333"/>
    <n v="162"/>
    <n v="360"/>
    <x v="2"/>
    <s v="Rural"/>
    <x v="1"/>
    <x v="321"/>
    <x v="1"/>
  </r>
  <r>
    <x v="340"/>
    <x v="0"/>
    <x v="0"/>
    <x v="3"/>
    <x v="0"/>
    <x v="1"/>
    <x v="294"/>
    <n v="4831"/>
    <n v="122"/>
    <n v="180"/>
    <x v="0"/>
    <s v="Semiurban"/>
    <x v="1"/>
    <x v="322"/>
    <x v="1"/>
  </r>
  <r>
    <x v="341"/>
    <x v="0"/>
    <x v="1"/>
    <x v="0"/>
    <x v="0"/>
    <x v="1"/>
    <x v="295"/>
    <n v="4275"/>
    <n v="187"/>
    <n v="360"/>
    <x v="0"/>
    <s v="Rural"/>
    <x v="0"/>
    <x v="323"/>
    <x v="0"/>
  </r>
  <r>
    <x v="342"/>
    <x v="0"/>
    <x v="0"/>
    <x v="0"/>
    <x v="1"/>
    <x v="0"/>
    <x v="296"/>
    <n v="0"/>
    <n v="81"/>
    <n v="180"/>
    <x v="0"/>
    <s v="Rural"/>
    <x v="0"/>
    <x v="324"/>
    <x v="0"/>
  </r>
  <r>
    <x v="343"/>
    <x v="0"/>
    <x v="0"/>
    <x v="1"/>
    <x v="0"/>
    <x v="0"/>
    <x v="65"/>
    <n v="0"/>
    <n v="80"/>
    <n v="360"/>
    <x v="0"/>
    <s v="Urban"/>
    <x v="0"/>
    <x v="66"/>
    <x v="0"/>
  </r>
  <r>
    <x v="344"/>
    <x v="0"/>
    <x v="1"/>
    <x v="2"/>
    <x v="0"/>
    <x v="0"/>
    <x v="297"/>
    <n v="0"/>
    <n v="176"/>
    <n v="360"/>
    <x v="0"/>
    <s v="Rural"/>
    <x v="0"/>
    <x v="325"/>
    <x v="0"/>
  </r>
  <r>
    <x v="345"/>
    <x v="0"/>
    <x v="0"/>
    <x v="0"/>
    <x v="0"/>
    <x v="0"/>
    <x v="298"/>
    <n v="0"/>
    <n v="260"/>
    <n v="360"/>
    <x v="0"/>
    <s v="Urban"/>
    <x v="1"/>
    <x v="326"/>
    <x v="1"/>
  </r>
  <r>
    <x v="346"/>
    <x v="0"/>
    <x v="0"/>
    <x v="0"/>
    <x v="0"/>
    <x v="0"/>
    <x v="124"/>
    <n v="1966"/>
    <n v="133"/>
    <n v="360"/>
    <x v="2"/>
    <s v="Rural"/>
    <x v="1"/>
    <x v="327"/>
    <x v="1"/>
  </r>
  <r>
    <x v="347"/>
    <x v="0"/>
    <x v="1"/>
    <x v="0"/>
    <x v="1"/>
    <x v="0"/>
    <x v="299"/>
    <n v="0"/>
    <n v="70"/>
    <n v="360"/>
    <x v="0"/>
    <s v="Urban"/>
    <x v="1"/>
    <x v="328"/>
    <x v="1"/>
  </r>
  <r>
    <x v="348"/>
    <x v="0"/>
    <x v="0"/>
    <x v="0"/>
    <x v="1"/>
    <x v="0"/>
    <x v="300"/>
    <n v="1380"/>
    <n v="135"/>
    <n v="360"/>
    <x v="0"/>
    <s v="Urban"/>
    <x v="0"/>
    <x v="329"/>
    <x v="0"/>
  </r>
  <r>
    <x v="349"/>
    <x v="0"/>
    <x v="0"/>
    <x v="1"/>
    <x v="0"/>
    <x v="1"/>
    <x v="119"/>
    <n v="296"/>
    <n v="137"/>
    <n v="300"/>
    <x v="0"/>
    <s v="Rural"/>
    <x v="1"/>
    <x v="330"/>
    <x v="1"/>
  </r>
  <r>
    <x v="350"/>
    <x v="0"/>
    <x v="0"/>
    <x v="3"/>
    <x v="0"/>
    <x v="0"/>
    <x v="301"/>
    <n v="0"/>
    <n v="254"/>
    <n v="360"/>
    <x v="0"/>
    <s v="Rural"/>
    <x v="1"/>
    <x v="331"/>
    <x v="1"/>
  </r>
  <r>
    <x v="351"/>
    <x v="0"/>
    <x v="1"/>
    <x v="5"/>
    <x v="0"/>
    <x v="0"/>
    <x v="302"/>
    <n v="15000"/>
    <n v="106"/>
    <n v="360"/>
    <x v="1"/>
    <s v="Rural"/>
    <x v="1"/>
    <x v="332"/>
    <x v="1"/>
  </r>
  <r>
    <x v="352"/>
    <x v="0"/>
    <x v="0"/>
    <x v="6"/>
    <x v="0"/>
    <x v="0"/>
    <x v="303"/>
    <n v="910"/>
    <n v="109"/>
    <n v="360"/>
    <x v="0"/>
    <s v="Urban"/>
    <x v="0"/>
    <x v="333"/>
    <x v="0"/>
  </r>
  <r>
    <x v="353"/>
    <x v="0"/>
    <x v="0"/>
    <x v="7"/>
    <x v="0"/>
    <x v="0"/>
    <x v="304"/>
    <n v="3769"/>
    <n v="120"/>
    <n v="360"/>
    <x v="0"/>
    <s v="Rural"/>
    <x v="0"/>
    <x v="334"/>
    <x v="0"/>
  </r>
  <r>
    <x v="354"/>
    <x v="0"/>
    <x v="0"/>
    <x v="8"/>
    <x v="1"/>
    <x v="0"/>
    <x v="305"/>
    <n v="187"/>
    <n v="158"/>
    <n v="180"/>
    <x v="2"/>
    <s v="Semiurban"/>
    <x v="1"/>
    <x v="335"/>
    <x v="1"/>
  </r>
  <r>
    <x v="355"/>
    <x v="0"/>
    <x v="0"/>
    <x v="9"/>
    <x v="0"/>
    <x v="0"/>
    <x v="306"/>
    <n v="1213"/>
    <n v="197"/>
    <n v="360"/>
    <x v="0"/>
    <s v="Urban"/>
    <x v="0"/>
    <x v="336"/>
    <x v="0"/>
  </r>
  <r>
    <x v="356"/>
    <x v="0"/>
    <x v="0"/>
    <x v="10"/>
    <x v="0"/>
    <x v="0"/>
    <x v="307"/>
    <n v="1936"/>
    <n v="85"/>
    <n v="360"/>
    <x v="0"/>
    <s v="Urban"/>
    <x v="0"/>
    <x v="337"/>
    <x v="0"/>
  </r>
  <r>
    <x v="357"/>
    <x v="0"/>
    <x v="1"/>
    <x v="11"/>
    <x v="0"/>
    <x v="0"/>
    <x v="119"/>
    <n v="0"/>
    <n v="60"/>
    <n v="360"/>
    <x v="0"/>
    <s v="Urban"/>
    <x v="1"/>
    <x v="338"/>
    <x v="1"/>
  </r>
  <r>
    <x v="358"/>
    <x v="0"/>
    <x v="0"/>
    <x v="12"/>
    <x v="1"/>
    <x v="0"/>
    <x v="308"/>
    <n v="0"/>
    <n v="76"/>
    <n v="360"/>
    <x v="1"/>
    <s v="Rural"/>
    <x v="1"/>
    <x v="339"/>
    <x v="1"/>
  </r>
  <r>
    <x v="359"/>
    <x v="0"/>
    <x v="1"/>
    <x v="13"/>
    <x v="0"/>
    <x v="0"/>
    <x v="127"/>
    <n v="2667"/>
    <n v="152"/>
    <n v="360"/>
    <x v="0"/>
    <s v="Semiurban"/>
    <x v="0"/>
    <x v="340"/>
    <x v="0"/>
  </r>
  <r>
    <x v="360"/>
    <x v="1"/>
    <x v="0"/>
    <x v="14"/>
    <x v="0"/>
    <x v="0"/>
    <x v="309"/>
    <n v="4255"/>
    <n v="96"/>
    <n v="360"/>
    <x v="1"/>
    <s v="Urban"/>
    <x v="1"/>
    <x v="341"/>
    <x v="1"/>
  </r>
  <r>
    <x v="361"/>
    <x v="0"/>
    <x v="0"/>
    <x v="15"/>
    <x v="0"/>
    <x v="0"/>
    <x v="310"/>
    <n v="2167"/>
    <n v="99"/>
    <n v="360"/>
    <x v="0"/>
    <s v="Semiurban"/>
    <x v="1"/>
    <x v="342"/>
    <x v="1"/>
  </r>
  <r>
    <x v="362"/>
    <x v="0"/>
    <x v="0"/>
    <x v="16"/>
    <x v="1"/>
    <x v="1"/>
    <x v="311"/>
    <n v="1777"/>
    <n v="113"/>
    <n v="360"/>
    <x v="0"/>
    <s v="Urban"/>
    <x v="0"/>
    <x v="343"/>
    <x v="0"/>
  </r>
  <r>
    <x v="363"/>
    <x v="0"/>
    <x v="0"/>
    <x v="17"/>
    <x v="0"/>
    <x v="0"/>
    <x v="312"/>
    <n v="709"/>
    <n v="115"/>
    <n v="360"/>
    <x v="0"/>
    <s v="Urban"/>
    <x v="0"/>
    <x v="344"/>
    <x v="0"/>
  </r>
  <r>
    <x v="364"/>
    <x v="0"/>
    <x v="1"/>
    <x v="18"/>
    <x v="0"/>
    <x v="0"/>
    <x v="69"/>
    <n v="1993"/>
    <n v="126"/>
    <n v="360"/>
    <x v="1"/>
    <s v="Semiurban"/>
    <x v="1"/>
    <x v="345"/>
    <x v="1"/>
  </r>
  <r>
    <x v="365"/>
    <x v="0"/>
    <x v="0"/>
    <x v="19"/>
    <x v="0"/>
    <x v="0"/>
    <x v="2"/>
    <n v="2393"/>
    <n v="158"/>
    <n v="360"/>
    <x v="0"/>
    <s v="Rural"/>
    <x v="0"/>
    <x v="346"/>
    <x v="0"/>
  </r>
  <r>
    <x v="366"/>
    <x v="0"/>
    <x v="1"/>
    <x v="20"/>
    <x v="0"/>
    <x v="1"/>
    <x v="313"/>
    <n v="0"/>
    <n v="98"/>
    <n v="180"/>
    <x v="0"/>
    <s v="Rural"/>
    <x v="0"/>
    <x v="34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49C047-FEEA-4902-B5ED-18AEBB9320D1}" name="PivotTable9"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5">
    <pivotField showAll="0"/>
    <pivotField showAll="0">
      <items count="4">
        <item x="1"/>
        <item x="0"/>
        <item x="2"/>
        <item t="default"/>
      </items>
    </pivotField>
    <pivotField showAll="0">
      <items count="3">
        <item x="1"/>
        <item x="0"/>
        <item t="default"/>
      </items>
    </pivotField>
    <pivotField showAll="0"/>
    <pivotField showAll="0">
      <items count="3">
        <item x="0"/>
        <item x="1"/>
        <item t="default"/>
      </items>
    </pivotField>
    <pivotField showAll="0">
      <items count="4">
        <item x="0"/>
        <item x="1"/>
        <item x="2"/>
        <item t="default"/>
      </items>
    </pivotField>
    <pivotField showAll="0"/>
    <pivotField showAll="0"/>
    <pivotField showAll="0"/>
    <pivotField showAll="0"/>
    <pivotField showAll="0"/>
    <pivotField showAll="0"/>
    <pivotField axis="axisRow" dataField="1" showAll="0">
      <items count="3">
        <item x="0"/>
        <item x="1"/>
        <item t="default"/>
      </items>
    </pivotField>
    <pivotField showAll="0"/>
    <pivotField showAll="0"/>
  </pivotFields>
  <rowFields count="1">
    <field x="12"/>
  </rowFields>
  <rowItems count="3">
    <i>
      <x/>
    </i>
    <i>
      <x v="1"/>
    </i>
    <i t="grand">
      <x/>
    </i>
  </rowItems>
  <colItems count="1">
    <i/>
  </colItems>
  <dataFields count="1">
    <dataField name="Count of Loan_Status" fld="12"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2" count="1" selected="0">
            <x v="0"/>
          </reference>
        </references>
      </pivotArea>
    </chartFormat>
    <chartFormat chart="2" format="7">
      <pivotArea type="data" outline="0" fieldPosition="0">
        <references count="2">
          <reference field="4294967294" count="1" selected="0">
            <x v="0"/>
          </reference>
          <reference field="12" count="1" selected="0">
            <x v="1"/>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3CA8F1-B069-40E8-9CF3-C547F0D685B3}" name="PivotTable1"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5">
    <pivotField showAll="0"/>
    <pivotField showAll="0">
      <items count="4">
        <item x="1"/>
        <item x="0"/>
        <item x="2"/>
        <item t="default"/>
      </items>
    </pivotField>
    <pivotField showAll="0">
      <items count="3">
        <item x="1"/>
        <item x="0"/>
        <item t="default"/>
      </items>
    </pivotField>
    <pivotField showAll="0"/>
    <pivotField axis="axisRow" showAll="0">
      <items count="3">
        <item x="0"/>
        <item x="1"/>
        <item t="default"/>
      </items>
    </pivotField>
    <pivotField showAll="0"/>
    <pivotField showAll="0">
      <items count="11">
        <item x="0"/>
        <item x="1"/>
        <item x="2"/>
        <item x="3"/>
        <item x="4"/>
        <item x="5"/>
        <item x="6"/>
        <item x="7"/>
        <item x="8"/>
        <item x="9"/>
        <item t="default"/>
      </items>
    </pivotField>
    <pivotField showAll="0"/>
    <pivotField showAll="0"/>
    <pivotField showAll="0"/>
    <pivotField showAll="0"/>
    <pivotField showAll="0"/>
    <pivotField axis="axisCol" showAll="0">
      <items count="3">
        <item x="0"/>
        <item x="1"/>
        <item t="default"/>
      </items>
    </pivotField>
    <pivotField showAll="0"/>
    <pivotField dataField="1" showAll="0"/>
  </pivotFields>
  <rowFields count="1">
    <field x="4"/>
  </rowFields>
  <rowItems count="3">
    <i>
      <x/>
    </i>
    <i>
      <x v="1"/>
    </i>
    <i t="grand">
      <x/>
    </i>
  </rowItems>
  <colFields count="1">
    <field x="12"/>
  </colFields>
  <colItems count="3">
    <i>
      <x/>
    </i>
    <i>
      <x v="1"/>
    </i>
    <i t="grand">
      <x/>
    </i>
  </colItems>
  <dataFields count="1">
    <dataField name="Sum of Aprproved_Value" fld="14" showDataAs="percentOfTotal" baseField="0" baseItem="0" numFmtId="1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series="1">
      <pivotArea type="data" outline="0" fieldPosition="0">
        <references count="2">
          <reference field="4294967294" count="1" selected="0">
            <x v="0"/>
          </reference>
          <reference field="12" count="1" selected="0">
            <x v="1"/>
          </reference>
        </references>
      </pivotArea>
    </chartFormat>
    <chartFormat chart="0" format="4" series="1">
      <pivotArea type="data" outline="0" fieldPosition="0">
        <references count="2">
          <reference field="4294967294" count="1" selected="0">
            <x v="0"/>
          </reference>
          <reference field="12" count="1" selected="0">
            <x v="0"/>
          </reference>
        </references>
      </pivotArea>
    </chartFormat>
    <chartFormat chart="4" format="7" series="1">
      <pivotArea type="data" outline="0" fieldPosition="0">
        <references count="2">
          <reference field="4294967294" count="1" selected="0">
            <x v="0"/>
          </reference>
          <reference field="12" count="1" selected="0">
            <x v="0"/>
          </reference>
        </references>
      </pivotArea>
    </chartFormat>
    <chartFormat chart="4" format="8" series="1">
      <pivotArea type="data" outline="0" fieldPosition="0">
        <references count="2">
          <reference field="4294967294" count="1" selected="0">
            <x v="0"/>
          </reference>
          <reference field="12" count="1" selected="0">
            <x v="1"/>
          </reference>
        </references>
      </pivotArea>
    </chartFormat>
    <chartFormat chart="0" format="5">
      <pivotArea type="data" outline="0" fieldPosition="0">
        <references count="3">
          <reference field="4294967294" count="1" selected="0">
            <x v="0"/>
          </reference>
          <reference field="4" count="1" selected="0">
            <x v="0"/>
          </reference>
          <reference field="12" count="1" selected="0">
            <x v="0"/>
          </reference>
        </references>
      </pivotArea>
    </chartFormat>
    <chartFormat chart="0" format="6">
      <pivotArea type="data" outline="0" fieldPosition="0">
        <references count="3">
          <reference field="4294967294" count="1" selected="0">
            <x v="0"/>
          </reference>
          <reference field="4" count="1" selected="0">
            <x v="1"/>
          </reference>
          <reference field="12" count="1" selected="0">
            <x v="0"/>
          </reference>
        </references>
      </pivotArea>
    </chartFormat>
    <chartFormat chart="0" format="7">
      <pivotArea type="data" outline="0" fieldPosition="0">
        <references count="3">
          <reference field="4294967294" count="1" selected="0">
            <x v="0"/>
          </reference>
          <reference field="4" count="1" selected="0">
            <x v="0"/>
          </reference>
          <reference field="12" count="1" selected="0">
            <x v="1"/>
          </reference>
        </references>
      </pivotArea>
    </chartFormat>
    <chartFormat chart="0" format="8">
      <pivotArea type="data" outline="0" fieldPosition="0">
        <references count="3">
          <reference field="4294967294" count="1" selected="0">
            <x v="0"/>
          </reference>
          <reference field="4" count="1" selected="0">
            <x v="1"/>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BB02BB-0D0E-4641-8DB1-4028BD0CAECE}" name="PivotTable1"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8" firstHeaderRow="1" firstDataRow="2" firstDataCol="1"/>
  <pivotFields count="15">
    <pivotField dataField="1" showAll="0"/>
    <pivotField showAll="0">
      <items count="4">
        <item x="1"/>
        <item x="0"/>
        <item x="2"/>
        <item t="default"/>
      </items>
    </pivotField>
    <pivotField showAll="0">
      <items count="3">
        <item x="1"/>
        <item x="0"/>
        <item t="default"/>
      </items>
    </pivotField>
    <pivotField showAll="0"/>
    <pivotField showAll="0">
      <items count="3">
        <item x="0"/>
        <item x="1"/>
        <item t="default"/>
      </items>
    </pivotField>
    <pivotField axis="axisRow" showAll="0">
      <items count="4">
        <item x="0"/>
        <item x="1"/>
        <item x="2"/>
        <item t="default"/>
      </items>
    </pivotField>
    <pivotField showAll="0">
      <items count="11">
        <item x="0"/>
        <item x="1"/>
        <item x="2"/>
        <item x="3"/>
        <item x="4"/>
        <item x="5"/>
        <item x="6"/>
        <item x="7"/>
        <item x="8"/>
        <item x="9"/>
        <item t="default"/>
      </items>
    </pivotField>
    <pivotField showAll="0"/>
    <pivotField showAll="0"/>
    <pivotField showAll="0"/>
    <pivotField showAll="0"/>
    <pivotField showAll="0"/>
    <pivotField axis="axisCol" showAll="0">
      <items count="3">
        <item x="0"/>
        <item x="1"/>
        <item t="default"/>
      </items>
    </pivotField>
    <pivotField showAll="0"/>
    <pivotField showAll="0">
      <items count="3">
        <item x="1"/>
        <item x="0"/>
        <item t="default"/>
      </items>
    </pivotField>
  </pivotFields>
  <rowFields count="1">
    <field x="5"/>
  </rowFields>
  <rowItems count="4">
    <i>
      <x/>
    </i>
    <i>
      <x v="1"/>
    </i>
    <i>
      <x v="2"/>
    </i>
    <i t="grand">
      <x/>
    </i>
  </rowItems>
  <colFields count="1">
    <field x="12"/>
  </colFields>
  <colItems count="3">
    <i>
      <x/>
    </i>
    <i>
      <x v="1"/>
    </i>
    <i t="grand">
      <x/>
    </i>
  </colItems>
  <dataFields count="1">
    <dataField name="Count of Loan_ID" fld="0" subtotal="count" baseField="0" baseItem="0"/>
  </dataFields>
  <chartFormats count="6">
    <chartFormat chart="0" format="4" series="1">
      <pivotArea type="data" outline="0" fieldPosition="0">
        <references count="1">
          <reference field="12" count="1" selected="0">
            <x v="0"/>
          </reference>
        </references>
      </pivotArea>
    </chartFormat>
    <chartFormat chart="0" format="5" series="1">
      <pivotArea type="data" outline="0" fieldPosition="0">
        <references count="1">
          <reference field="12" count="1" selected="0">
            <x v="1"/>
          </reference>
        </references>
      </pivotArea>
    </chartFormat>
    <chartFormat chart="0" format="6" series="1">
      <pivotArea type="data" outline="0" fieldPosition="0">
        <references count="2">
          <reference field="4294967294" count="1" selected="0">
            <x v="0"/>
          </reference>
          <reference field="12" count="1" selected="0">
            <x v="0"/>
          </reference>
        </references>
      </pivotArea>
    </chartFormat>
    <chartFormat chart="0" format="7" series="1">
      <pivotArea type="data" outline="0" fieldPosition="0">
        <references count="2">
          <reference field="4294967294" count="1" selected="0">
            <x v="0"/>
          </reference>
          <reference field="12" count="1" selected="0">
            <x v="1"/>
          </reference>
        </references>
      </pivotArea>
    </chartFormat>
    <chartFormat chart="3" format="10" series="1">
      <pivotArea type="data" outline="0" fieldPosition="0">
        <references count="2">
          <reference field="4294967294" count="1" selected="0">
            <x v="0"/>
          </reference>
          <reference field="12" count="1" selected="0">
            <x v="0"/>
          </reference>
        </references>
      </pivotArea>
    </chartFormat>
    <chartFormat chart="3" format="11"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4B3ED9-EE9F-4192-A1A9-721D92449D08}" name="PivotTable1"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15">
    <pivotField showAll="0"/>
    <pivotField showAll="0">
      <items count="4">
        <item x="1"/>
        <item x="0"/>
        <item x="2"/>
        <item t="default"/>
      </items>
    </pivotField>
    <pivotField showAll="0">
      <items count="3">
        <item x="1"/>
        <item x="0"/>
        <item t="default"/>
      </items>
    </pivotField>
    <pivotField showAll="0"/>
    <pivotField showAll="0">
      <items count="3">
        <item x="0"/>
        <item x="1"/>
        <item t="default"/>
      </items>
    </pivotField>
    <pivotField showAll="0">
      <items count="4">
        <item x="0"/>
        <item x="1"/>
        <item x="2"/>
        <item t="default"/>
      </items>
    </pivotField>
    <pivotField axis="axisRow" showAll="0">
      <items count="11">
        <item x="0"/>
        <item x="1"/>
        <item x="2"/>
        <item x="3"/>
        <item x="4"/>
        <item x="5"/>
        <item x="6"/>
        <item x="7"/>
        <item x="8"/>
        <item x="9"/>
        <item t="default"/>
      </items>
    </pivotField>
    <pivotField showAll="0"/>
    <pivotField showAll="0"/>
    <pivotField dataField="1" showAll="0"/>
    <pivotField showAll="0"/>
    <pivotField showAll="0"/>
    <pivotField showAll="0">
      <items count="3">
        <item x="0"/>
        <item x="1"/>
        <item t="default"/>
      </items>
    </pivotField>
    <pivotField showAll="0" measureFilter="1">
      <items count="349">
        <item x="115"/>
        <item x="21"/>
        <item x="233"/>
        <item x="6"/>
        <item x="100"/>
        <item x="160"/>
        <item x="200"/>
        <item x="317"/>
        <item x="30"/>
        <item x="338"/>
        <item x="215"/>
        <item x="280"/>
        <item x="102"/>
        <item x="287"/>
        <item x="158"/>
        <item x="55"/>
        <item x="222"/>
        <item x="330"/>
        <item x="244"/>
        <item x="328"/>
        <item x="212"/>
        <item x="171"/>
        <item x="238"/>
        <item x="156"/>
        <item x="86"/>
        <item x="126"/>
        <item x="194"/>
        <item x="10"/>
        <item x="119"/>
        <item x="339"/>
        <item x="35"/>
        <item x="161"/>
        <item x="308"/>
        <item x="188"/>
        <item x="70"/>
        <item x="277"/>
        <item x="4"/>
        <item x="288"/>
        <item x="189"/>
        <item x="105"/>
        <item x="129"/>
        <item x="191"/>
        <item x="304"/>
        <item x="303"/>
        <item x="111"/>
        <item x="67"/>
        <item x="316"/>
        <item x="262"/>
        <item x="20"/>
        <item x="324"/>
        <item x="164"/>
        <item x="187"/>
        <item x="63"/>
        <item x="131"/>
        <item x="228"/>
        <item x="41"/>
        <item x="44"/>
        <item x="239"/>
        <item x="11"/>
        <item x="283"/>
        <item x="23"/>
        <item x="296"/>
        <item x="42"/>
        <item x="282"/>
        <item x="289"/>
        <item x="245"/>
        <item x="229"/>
        <item x="319"/>
        <item x="290"/>
        <item x="240"/>
        <item x="7"/>
        <item x="101"/>
        <item x="22"/>
        <item x="237"/>
        <item x="224"/>
        <item x="165"/>
        <item x="132"/>
        <item x="241"/>
        <item x="150"/>
        <item x="258"/>
        <item x="110"/>
        <item x="135"/>
        <item x="253"/>
        <item x="17"/>
        <item x="284"/>
        <item x="50"/>
        <item x="60"/>
        <item x="251"/>
        <item x="197"/>
        <item x="12"/>
        <item x="295"/>
        <item x="302"/>
        <item x="198"/>
        <item x="267"/>
        <item x="118"/>
        <item x="146"/>
        <item x="278"/>
        <item x="232"/>
        <item x="169"/>
        <item x="47"/>
        <item x="263"/>
        <item x="34"/>
        <item x="298"/>
        <item x="192"/>
        <item x="216"/>
        <item x="210"/>
        <item x="51"/>
        <item x="231"/>
        <item x="279"/>
        <item x="176"/>
        <item x="56"/>
        <item x="116"/>
        <item x="117"/>
        <item x="342"/>
        <item x="99"/>
        <item x="83"/>
        <item x="71"/>
        <item x="103"/>
        <item x="166"/>
        <item x="64"/>
        <item x="107"/>
        <item x="106"/>
        <item x="250"/>
        <item x="265"/>
        <item x="1"/>
        <item x="134"/>
        <item x="299"/>
        <item x="128"/>
        <item x="28"/>
        <item x="184"/>
        <item x="14"/>
        <item x="124"/>
        <item x="163"/>
        <item x="66"/>
        <item x="104"/>
        <item x="315"/>
        <item x="59"/>
        <item x="136"/>
        <item x="109"/>
        <item x="300"/>
        <item x="19"/>
        <item x="186"/>
        <item x="329"/>
        <item x="9"/>
        <item x="148"/>
        <item x="149"/>
        <item x="130"/>
        <item x="344"/>
        <item x="3"/>
        <item x="272"/>
        <item x="121"/>
        <item x="80"/>
        <item x="133"/>
        <item x="32"/>
        <item x="62"/>
        <item x="274"/>
        <item x="147"/>
        <item x="225"/>
        <item x="318"/>
        <item x="195"/>
        <item x="242"/>
        <item x="205"/>
        <item x="88"/>
        <item x="37"/>
        <item x="213"/>
        <item x="53"/>
        <item x="172"/>
        <item x="311"/>
        <item x="218"/>
        <item x="219"/>
        <item x="214"/>
        <item x="206"/>
        <item x="167"/>
        <item x="255"/>
        <item x="345"/>
        <item x="87"/>
        <item x="307"/>
        <item x="54"/>
        <item x="243"/>
        <item x="293"/>
        <item x="29"/>
        <item x="306"/>
        <item x="327"/>
        <item x="202"/>
        <item x="230"/>
        <item x="127"/>
        <item x="249"/>
        <item x="143"/>
        <item x="89"/>
        <item x="85"/>
        <item x="33"/>
        <item x="335"/>
        <item x="312"/>
        <item x="268"/>
        <item x="193"/>
        <item x="159"/>
        <item x="76"/>
        <item x="157"/>
        <item x="5"/>
        <item x="39"/>
        <item x="26"/>
        <item x="46"/>
        <item x="15"/>
        <item x="211"/>
        <item x="179"/>
        <item x="203"/>
        <item x="320"/>
        <item x="0"/>
        <item x="337"/>
        <item x="309"/>
        <item x="264"/>
        <item x="343"/>
        <item x="301"/>
        <item x="38"/>
        <item x="221"/>
        <item x="72"/>
        <item x="168"/>
        <item x="108"/>
        <item x="209"/>
        <item x="144"/>
        <item x="73"/>
        <item x="276"/>
        <item x="199"/>
        <item x="137"/>
        <item x="261"/>
        <item x="120"/>
        <item x="162"/>
        <item x="94"/>
        <item x="285"/>
        <item x="112"/>
        <item x="273"/>
        <item x="234"/>
        <item x="314"/>
        <item x="77"/>
        <item x="92"/>
        <item x="248"/>
        <item x="58"/>
        <item x="40"/>
        <item x="281"/>
        <item x="65"/>
        <item x="52"/>
        <item x="257"/>
        <item x="174"/>
        <item x="152"/>
        <item x="208"/>
        <item x="321"/>
        <item x="340"/>
        <item x="183"/>
        <item x="333"/>
        <item x="247"/>
        <item x="96"/>
        <item x="2"/>
        <item x="291"/>
        <item x="98"/>
        <item x="325"/>
        <item x="91"/>
        <item x="254"/>
        <item x="93"/>
        <item x="75"/>
        <item x="31"/>
        <item x="57"/>
        <item x="235"/>
        <item x="217"/>
        <item x="259"/>
        <item x="175"/>
        <item x="61"/>
        <item x="138"/>
        <item x="145"/>
        <item x="346"/>
        <item x="256"/>
        <item x="322"/>
        <item x="78"/>
        <item x="204"/>
        <item x="226"/>
        <item x="16"/>
        <item x="125"/>
        <item x="95"/>
        <item x="196"/>
        <item x="69"/>
        <item x="223"/>
        <item x="246"/>
        <item x="294"/>
        <item x="68"/>
        <item x="201"/>
        <item x="154"/>
        <item x="177"/>
        <item x="79"/>
        <item x="45"/>
        <item x="323"/>
        <item x="49"/>
        <item x="74"/>
        <item x="326"/>
        <item x="153"/>
        <item x="114"/>
        <item x="310"/>
        <item x="155"/>
        <item x="292"/>
        <item x="82"/>
        <item x="151"/>
        <item x="331"/>
        <item x="142"/>
        <item x="190"/>
        <item x="297"/>
        <item x="271"/>
        <item x="336"/>
        <item x="334"/>
        <item x="122"/>
        <item x="113"/>
        <item x="269"/>
        <item x="43"/>
        <item x="180"/>
        <item x="347"/>
        <item x="170"/>
        <item x="313"/>
        <item x="97"/>
        <item x="24"/>
        <item x="236"/>
        <item x="207"/>
        <item x="48"/>
        <item x="140"/>
        <item x="178"/>
        <item x="27"/>
        <item x="36"/>
        <item x="182"/>
        <item x="13"/>
        <item x="275"/>
        <item x="123"/>
        <item x="84"/>
        <item x="185"/>
        <item x="341"/>
        <item x="141"/>
        <item x="181"/>
        <item x="90"/>
        <item x="8"/>
        <item x="286"/>
        <item x="173"/>
        <item x="18"/>
        <item x="332"/>
        <item x="252"/>
        <item x="227"/>
        <item x="305"/>
        <item x="270"/>
        <item x="25"/>
        <item x="260"/>
        <item x="266"/>
        <item x="220"/>
        <item x="139"/>
        <item x="81"/>
        <item t="default"/>
      </items>
    </pivotField>
    <pivotField showAll="0">
      <items count="3">
        <item x="1"/>
        <item x="0"/>
        <item t="default"/>
      </items>
    </pivotField>
  </pivotFields>
  <rowFields count="1">
    <field x="6"/>
  </rowFields>
  <rowItems count="6">
    <i>
      <x v="1"/>
    </i>
    <i>
      <x v="2"/>
    </i>
    <i>
      <x v="3"/>
    </i>
    <i>
      <x v="4"/>
    </i>
    <i>
      <x v="8"/>
    </i>
    <i t="grand">
      <x/>
    </i>
  </rowItems>
  <colItems count="1">
    <i/>
  </colItems>
  <dataFields count="1">
    <dataField name="Sum of Loan_Amount_Term" fld="9" baseField="0" baseItem="0"/>
  </dataFields>
  <pivotTableStyleInfo name="PivotStyleLight16" showRowHeaders="1" showColHeaders="1" showRowStripes="0" showColStripes="0" showLastColumn="1"/>
  <filters count="1">
    <filter fld="13"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BCB21C-1910-4BBF-BB08-4B8640E17EAD}" name="PivotTable16"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26" firstHeaderRow="1" firstDataRow="2" firstDataCol="1"/>
  <pivotFields count="15">
    <pivotField dataField="1" showAl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t="default"/>
      </items>
    </pivotField>
    <pivotField showAll="0"/>
    <pivotField showAll="0"/>
    <pivotField axis="axisRow" showAll="0">
      <items count="22">
        <item x="4"/>
        <item x="0"/>
        <item x="1"/>
        <item x="12"/>
        <item x="13"/>
        <item x="14"/>
        <item x="15"/>
        <item x="16"/>
        <item x="17"/>
        <item x="18"/>
        <item x="19"/>
        <item x="20"/>
        <item x="3"/>
        <item x="5"/>
        <item x="2"/>
        <item x="6"/>
        <item x="7"/>
        <item x="8"/>
        <item x="9"/>
        <item x="10"/>
        <item x="11"/>
        <item t="default"/>
      </items>
    </pivotField>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s>
  <rowFields count="1">
    <field x="3"/>
  </rowFields>
  <rowItems count="22">
    <i>
      <x/>
    </i>
    <i>
      <x v="1"/>
    </i>
    <i>
      <x v="2"/>
    </i>
    <i>
      <x v="3"/>
    </i>
    <i>
      <x v="4"/>
    </i>
    <i>
      <x v="5"/>
    </i>
    <i>
      <x v="6"/>
    </i>
    <i>
      <x v="7"/>
    </i>
    <i>
      <x v="8"/>
    </i>
    <i>
      <x v="9"/>
    </i>
    <i>
      <x v="10"/>
    </i>
    <i>
      <x v="11"/>
    </i>
    <i>
      <x v="12"/>
    </i>
    <i>
      <x v="13"/>
    </i>
    <i>
      <x v="14"/>
    </i>
    <i>
      <x v="15"/>
    </i>
    <i>
      <x v="16"/>
    </i>
    <i>
      <x v="17"/>
    </i>
    <i>
      <x v="18"/>
    </i>
    <i>
      <x v="19"/>
    </i>
    <i>
      <x v="20"/>
    </i>
    <i t="grand">
      <x/>
    </i>
  </rowItems>
  <colFields count="1">
    <field x="12"/>
  </colFields>
  <colItems count="3">
    <i>
      <x/>
    </i>
    <i>
      <x v="1"/>
    </i>
    <i t="grand">
      <x/>
    </i>
  </colItems>
  <dataFields count="1">
    <dataField name="Count of Loan_ID" fld="0" subtotal="count" baseField="0" baseItem="0"/>
  </dataFields>
  <chartFormats count="2">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DBA716-D334-404F-85C4-E282A91E4A9E}" name="PivotTable1"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8" firstHeaderRow="1" firstDataRow="2" firstDataCol="1"/>
  <pivotFields count="15">
    <pivotField dataField="1" showAll="0"/>
    <pivotField showAll="0">
      <items count="4">
        <item x="1"/>
        <item x="0"/>
        <item x="2"/>
        <item t="default"/>
      </items>
    </pivotField>
    <pivotField showAll="0">
      <items count="3">
        <item x="1"/>
        <item x="0"/>
        <item t="default"/>
      </items>
    </pivotField>
    <pivotField showAll="0"/>
    <pivotField showAll="0">
      <items count="3">
        <item x="0"/>
        <item x="1"/>
        <item t="default"/>
      </items>
    </pivotField>
    <pivotField showAll="0">
      <items count="4">
        <item x="0"/>
        <item x="1"/>
        <item x="2"/>
        <item t="default"/>
      </items>
    </pivotField>
    <pivotField showAll="0">
      <items count="11">
        <item x="0"/>
        <item x="1"/>
        <item x="2"/>
        <item x="3"/>
        <item x="4"/>
        <item x="5"/>
        <item x="6"/>
        <item x="7"/>
        <item x="8"/>
        <item x="9"/>
        <item t="default"/>
      </items>
    </pivotField>
    <pivotField showAll="0"/>
    <pivotField showAll="0"/>
    <pivotField showAll="0"/>
    <pivotField axis="axisRow" showAll="0">
      <items count="4">
        <item x="2"/>
        <item x="0"/>
        <item x="1"/>
        <item t="default"/>
      </items>
    </pivotField>
    <pivotField showAll="0"/>
    <pivotField axis="axisCol" showAll="0">
      <items count="3">
        <item x="0"/>
        <item x="1"/>
        <item t="default"/>
      </items>
    </pivotField>
    <pivotField showAll="0"/>
    <pivotField showAll="0">
      <items count="3">
        <item x="1"/>
        <item x="0"/>
        <item t="default"/>
      </items>
    </pivotField>
  </pivotFields>
  <rowFields count="1">
    <field x="10"/>
  </rowFields>
  <rowItems count="4">
    <i>
      <x/>
    </i>
    <i>
      <x v="1"/>
    </i>
    <i>
      <x v="2"/>
    </i>
    <i t="grand">
      <x/>
    </i>
  </rowItems>
  <colFields count="1">
    <field x="12"/>
  </colFields>
  <colItems count="3">
    <i>
      <x/>
    </i>
    <i>
      <x v="1"/>
    </i>
    <i t="grand">
      <x/>
    </i>
  </colItems>
  <dataFields count="1">
    <dataField name="Count of Loan_ID" fld="0"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2" format="4" series="1">
      <pivotArea type="data" outline="0" fieldPosition="0">
        <references count="2">
          <reference field="4294967294" count="1" selected="0">
            <x v="0"/>
          </reference>
          <reference field="12" count="1" selected="0">
            <x v="0"/>
          </reference>
        </references>
      </pivotArea>
    </chartFormat>
    <chartFormat chart="2"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8D332F6-A39F-4843-B934-C3B8FE2B7623}" sourceName="Gender">
  <pivotTables>
    <pivotTable tabId="17" name="PivotTable9"/>
    <pivotTable tabId="9" name="PivotTable1"/>
    <pivotTable tabId="13" name="PivotTable1"/>
    <pivotTable tabId="7" name="PivotTable1"/>
    <pivotTable tabId="8" name="PivotTable1"/>
  </pivotTables>
  <data>
    <tabular pivotCacheId="2035639245">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 xr10:uid="{98EC3132-0C01-41D4-A9A2-DACCFD115FDA}" sourceName="Married">
  <pivotTables>
    <pivotTable tabId="17" name="PivotTable9"/>
    <pivotTable tabId="9" name="PivotTable1"/>
    <pivotTable tabId="13" name="PivotTable1"/>
    <pivotTable tabId="7" name="PivotTable1"/>
    <pivotTable tabId="8" name="PivotTable1"/>
  </pivotTables>
  <data>
    <tabular pivotCacheId="203563924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_Employed" xr10:uid="{03A6614B-2D2A-4356-B833-1F2D60D6585B}" sourceName="Self_Employed">
  <pivotTables>
    <pivotTable tabId="17" name="PivotTable9"/>
  </pivotTables>
  <data>
    <tabular pivotCacheId="203563924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E69BDE6-A1ED-4598-A92A-075BFDC3FD4E}" sourceName="Education">
  <pivotTables>
    <pivotTable tabId="7" name="PivotTable1"/>
    <pivotTable tabId="9" name="PivotTable1"/>
    <pivotTable tabId="13" name="PivotTable1"/>
    <pivotTable tabId="17" name="PivotTable9"/>
    <pivotTable tabId="8" name="PivotTable1"/>
  </pivotTables>
  <data>
    <tabular pivotCacheId="203563924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4D3BD62-5658-4C74-A552-5EDF44636099}" cache="Slicer_Gender" caption="Gender" style="SlicerStyleLight1 2" rowHeight="257175"/>
  <slicer name="Married" xr10:uid="{D19F5391-5EF9-4602-90A0-1914068C63CC}" cache="Slicer_Married" caption="Married" style="SlicerStyleLight1 2" rowHeight="257175"/>
  <slicer name="Self_Employed" xr10:uid="{D38762F5-259A-4583-89DF-5810B86A0CCB}" cache="Slicer_Self_Employed" caption="Self_Employed" style="SlicerStyleLight1 2" rowHeight="257175"/>
  <slicer name="Education" xr10:uid="{48CDAEF5-3904-45DE-974D-DA2EF3FD2E46}" cache="Slicer_Education" caption="Education" style="SlicerStyleLight1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FA0B444-B745-49F6-B978-496E6570D32D}" name="Table5" displayName="Table5" ref="A1:O368" totalsRowShown="0" headerRowDxfId="0">
  <autoFilter ref="A1:O368" xr:uid="{BFA0B444-B745-49F6-B978-496E6570D32D}"/>
  <tableColumns count="15">
    <tableColumn id="1" xr3:uid="{E18E455E-7059-49A6-8C87-EE840B804AE1}" name="Loan_ID"/>
    <tableColumn id="2" xr3:uid="{3332D011-91C9-404A-99A5-4C59D1DAF482}" name="Gender"/>
    <tableColumn id="3" xr3:uid="{5F39CC94-E0F1-436B-AC26-2DB538DA7A2B}" name="Married"/>
    <tableColumn id="4" xr3:uid="{0ECC922C-33D6-44D5-934A-5B35BE57F54F}" name="Dependents"/>
    <tableColumn id="5" xr3:uid="{587F01B7-8B19-41C5-8146-52B9B92A4909}" name="Education"/>
    <tableColumn id="6" xr3:uid="{8F8619B4-6001-4995-B821-2FD13C100A26}" name="Self_Employed"/>
    <tableColumn id="7" xr3:uid="{6D5BC2F5-8E30-4847-8100-B8AD053BB18C}" name="ApplicantIncome"/>
    <tableColumn id="8" xr3:uid="{E87BDA6B-6AFC-4048-9812-DE51C9B99C69}" name="CoapplicantIncome"/>
    <tableColumn id="9" xr3:uid="{94236A82-4472-4E98-9960-9D4DAAB7643A}" name="LoanAmount"/>
    <tableColumn id="10" xr3:uid="{B00AA575-FDD3-4761-BA1B-70574BDAD0BB}" name="Loan_Amount_Term"/>
    <tableColumn id="11" xr3:uid="{30E5D089-49EA-4B2F-A91D-AC0232AB53D8}" name="Credit_History"/>
    <tableColumn id="12" xr3:uid="{174FBBE7-517C-493D-B3D7-AE7D6E2BEA46}" name="Property_Area"/>
    <tableColumn id="13" xr3:uid="{F203614F-96E7-4C8E-9251-D34E6773FF43}" name="Loan_Status">
      <calculatedColumnFormula>IF(AND(K2=1,G2&gt;3000,I2&lt;200),"Approved","Rejected")</calculatedColumnFormula>
    </tableColumn>
    <tableColumn id="14" xr3:uid="{50D09D63-CAFA-4C97-A267-22667207A3D2}" name="Total Income">
      <calculatedColumnFormula>G2+H2</calculatedColumnFormula>
    </tableColumn>
    <tableColumn id="15" xr3:uid="{FC08590B-331B-4FC0-8F38-43BBCE2F7F38}" name="Aprproved_Value">
      <calculatedColumnFormula>IF(M2="Approved",1,0)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DB687-9096-40AB-9170-032A86A9C1AD}">
  <dimension ref="A1:L368"/>
  <sheetViews>
    <sheetView workbookViewId="0">
      <selection activeCell="N22" sqref="N22"/>
    </sheetView>
  </sheetViews>
  <sheetFormatPr defaultRowHeight="15" x14ac:dyDescent="0.25"/>
  <cols>
    <col min="1" max="1" width="9" bestFit="1" customWidth="1"/>
    <col min="2" max="2" width="7.42578125" bestFit="1" customWidth="1"/>
    <col min="3" max="3" width="7.85546875" bestFit="1" customWidth="1"/>
    <col min="4" max="4" width="11.42578125" bestFit="1" customWidth="1"/>
    <col min="5" max="5" width="19.85546875" customWidth="1"/>
    <col min="6" max="6" width="13.7109375" bestFit="1" customWidth="1"/>
    <col min="7" max="7" width="16.140625" bestFit="1" customWidth="1"/>
    <col min="8" max="8" width="18.5703125" bestFit="1" customWidth="1"/>
    <col min="9" max="9" width="12.140625" bestFit="1" customWidth="1"/>
    <col min="10" max="10" width="18.5703125" bestFit="1" customWidth="1"/>
    <col min="11" max="12" width="13.2851562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v>0</v>
      </c>
      <c r="E2" t="s">
        <v>15</v>
      </c>
      <c r="F2" t="s">
        <v>16</v>
      </c>
      <c r="G2">
        <v>5720</v>
      </c>
      <c r="H2">
        <v>0</v>
      </c>
      <c r="I2">
        <v>110</v>
      </c>
      <c r="J2">
        <v>360</v>
      </c>
      <c r="K2">
        <v>1</v>
      </c>
      <c r="L2" t="s">
        <v>17</v>
      </c>
    </row>
    <row r="3" spans="1:12" x14ac:dyDescent="0.25">
      <c r="A3" t="s">
        <v>18</v>
      </c>
      <c r="B3" t="s">
        <v>13</v>
      </c>
      <c r="C3" t="s">
        <v>14</v>
      </c>
      <c r="D3">
        <v>1</v>
      </c>
      <c r="E3" t="s">
        <v>15</v>
      </c>
      <c r="F3" t="s">
        <v>16</v>
      </c>
      <c r="G3">
        <v>3076</v>
      </c>
      <c r="H3">
        <v>1500</v>
      </c>
      <c r="I3">
        <v>126</v>
      </c>
      <c r="J3">
        <v>360</v>
      </c>
      <c r="K3">
        <v>1</v>
      </c>
      <c r="L3" t="s">
        <v>17</v>
      </c>
    </row>
    <row r="4" spans="1:12" x14ac:dyDescent="0.25">
      <c r="A4" t="s">
        <v>19</v>
      </c>
      <c r="B4" t="s">
        <v>13</v>
      </c>
      <c r="C4" t="s">
        <v>14</v>
      </c>
      <c r="D4">
        <v>2</v>
      </c>
      <c r="E4" t="s">
        <v>15</v>
      </c>
      <c r="F4" t="s">
        <v>16</v>
      </c>
      <c r="G4">
        <v>5000</v>
      </c>
      <c r="H4">
        <v>1800</v>
      </c>
      <c r="I4">
        <v>208</v>
      </c>
      <c r="J4">
        <v>360</v>
      </c>
      <c r="K4">
        <v>1</v>
      </c>
      <c r="L4" t="s">
        <v>17</v>
      </c>
    </row>
    <row r="5" spans="1:12" x14ac:dyDescent="0.25">
      <c r="A5" t="s">
        <v>20</v>
      </c>
      <c r="B5" t="s">
        <v>13</v>
      </c>
      <c r="C5" t="s">
        <v>14</v>
      </c>
      <c r="D5">
        <v>2</v>
      </c>
      <c r="E5" t="s">
        <v>15</v>
      </c>
      <c r="F5" t="s">
        <v>16</v>
      </c>
      <c r="G5">
        <v>2340</v>
      </c>
      <c r="H5">
        <v>2546</v>
      </c>
      <c r="I5">
        <v>100</v>
      </c>
      <c r="J5">
        <v>360</v>
      </c>
      <c r="L5" t="s">
        <v>17</v>
      </c>
    </row>
    <row r="6" spans="1:12" x14ac:dyDescent="0.25">
      <c r="A6" t="s">
        <v>21</v>
      </c>
      <c r="B6" t="s">
        <v>13</v>
      </c>
      <c r="C6" t="s">
        <v>16</v>
      </c>
      <c r="D6">
        <v>0</v>
      </c>
      <c r="E6" t="s">
        <v>22</v>
      </c>
      <c r="F6" t="s">
        <v>16</v>
      </c>
      <c r="G6">
        <v>3276</v>
      </c>
      <c r="H6">
        <v>0</v>
      </c>
      <c r="I6">
        <v>78</v>
      </c>
      <c r="J6">
        <v>360</v>
      </c>
      <c r="K6">
        <v>1</v>
      </c>
      <c r="L6" t="s">
        <v>17</v>
      </c>
    </row>
    <row r="7" spans="1:12" x14ac:dyDescent="0.25">
      <c r="A7" t="s">
        <v>23</v>
      </c>
      <c r="B7" t="s">
        <v>13</v>
      </c>
      <c r="C7" t="s">
        <v>14</v>
      </c>
      <c r="D7">
        <v>0</v>
      </c>
      <c r="E7" t="s">
        <v>22</v>
      </c>
      <c r="F7" t="s">
        <v>14</v>
      </c>
      <c r="G7">
        <v>2165</v>
      </c>
      <c r="H7">
        <v>3422</v>
      </c>
      <c r="I7">
        <v>152</v>
      </c>
      <c r="J7">
        <v>360</v>
      </c>
      <c r="K7">
        <v>1</v>
      </c>
      <c r="L7" t="s">
        <v>17</v>
      </c>
    </row>
    <row r="8" spans="1:12" x14ac:dyDescent="0.25">
      <c r="A8" t="s">
        <v>24</v>
      </c>
      <c r="B8" t="s">
        <v>25</v>
      </c>
      <c r="C8" t="s">
        <v>16</v>
      </c>
      <c r="D8">
        <v>1</v>
      </c>
      <c r="E8" t="s">
        <v>22</v>
      </c>
      <c r="F8" t="s">
        <v>16</v>
      </c>
      <c r="G8">
        <v>2226</v>
      </c>
      <c r="H8">
        <v>0</v>
      </c>
      <c r="I8">
        <v>59</v>
      </c>
      <c r="J8">
        <v>360</v>
      </c>
      <c r="K8">
        <v>1</v>
      </c>
      <c r="L8" t="s">
        <v>26</v>
      </c>
    </row>
    <row r="9" spans="1:12" x14ac:dyDescent="0.25">
      <c r="A9" t="s">
        <v>27</v>
      </c>
      <c r="B9" t="s">
        <v>13</v>
      </c>
      <c r="C9" t="s">
        <v>14</v>
      </c>
      <c r="D9">
        <v>2</v>
      </c>
      <c r="E9" t="s">
        <v>22</v>
      </c>
      <c r="F9" t="s">
        <v>16</v>
      </c>
      <c r="G9">
        <v>3881</v>
      </c>
      <c r="H9">
        <v>0</v>
      </c>
      <c r="I9">
        <v>147</v>
      </c>
      <c r="J9">
        <v>360</v>
      </c>
      <c r="K9">
        <v>0</v>
      </c>
      <c r="L9" t="s">
        <v>28</v>
      </c>
    </row>
    <row r="10" spans="1:12" x14ac:dyDescent="0.25">
      <c r="A10" t="s">
        <v>29</v>
      </c>
      <c r="B10" t="s">
        <v>13</v>
      </c>
      <c r="C10" t="s">
        <v>14</v>
      </c>
      <c r="D10">
        <v>2</v>
      </c>
      <c r="E10" t="s">
        <v>15</v>
      </c>
      <c r="G10">
        <v>13633</v>
      </c>
      <c r="H10">
        <v>0</v>
      </c>
      <c r="I10">
        <v>280</v>
      </c>
      <c r="J10">
        <v>240</v>
      </c>
      <c r="K10">
        <v>1</v>
      </c>
      <c r="L10" t="s">
        <v>17</v>
      </c>
    </row>
    <row r="11" spans="1:12" x14ac:dyDescent="0.25">
      <c r="A11" t="s">
        <v>30</v>
      </c>
      <c r="B11" t="s">
        <v>13</v>
      </c>
      <c r="C11" t="s">
        <v>16</v>
      </c>
      <c r="D11">
        <v>0</v>
      </c>
      <c r="E11" t="s">
        <v>22</v>
      </c>
      <c r="F11" t="s">
        <v>16</v>
      </c>
      <c r="G11">
        <v>2400</v>
      </c>
      <c r="H11">
        <v>2400</v>
      </c>
      <c r="I11">
        <v>123</v>
      </c>
      <c r="J11">
        <v>360</v>
      </c>
      <c r="K11">
        <v>1</v>
      </c>
      <c r="L11" t="s">
        <v>26</v>
      </c>
    </row>
    <row r="12" spans="1:12" x14ac:dyDescent="0.25">
      <c r="A12" t="s">
        <v>31</v>
      </c>
      <c r="B12" t="s">
        <v>13</v>
      </c>
      <c r="C12" t="s">
        <v>16</v>
      </c>
      <c r="D12">
        <v>0</v>
      </c>
      <c r="E12" t="s">
        <v>22</v>
      </c>
      <c r="F12" t="s">
        <v>16</v>
      </c>
      <c r="G12">
        <v>3091</v>
      </c>
      <c r="H12">
        <v>0</v>
      </c>
      <c r="I12">
        <v>90</v>
      </c>
      <c r="J12">
        <v>360</v>
      </c>
      <c r="K12">
        <v>1</v>
      </c>
      <c r="L12" t="s">
        <v>17</v>
      </c>
    </row>
    <row r="13" spans="1:12" x14ac:dyDescent="0.25">
      <c r="A13" t="s">
        <v>32</v>
      </c>
      <c r="B13" t="s">
        <v>13</v>
      </c>
      <c r="C13" t="s">
        <v>14</v>
      </c>
      <c r="D13">
        <v>1</v>
      </c>
      <c r="E13" t="s">
        <v>15</v>
      </c>
      <c r="G13">
        <v>2185</v>
      </c>
      <c r="H13">
        <v>1516</v>
      </c>
      <c r="I13">
        <v>162</v>
      </c>
      <c r="J13">
        <v>360</v>
      </c>
      <c r="K13">
        <v>1</v>
      </c>
      <c r="L13" t="s">
        <v>26</v>
      </c>
    </row>
    <row r="14" spans="1:12" x14ac:dyDescent="0.25">
      <c r="A14" t="s">
        <v>33</v>
      </c>
      <c r="B14" t="s">
        <v>13</v>
      </c>
      <c r="C14" t="s">
        <v>16</v>
      </c>
      <c r="D14" t="s">
        <v>34</v>
      </c>
      <c r="E14" t="s">
        <v>15</v>
      </c>
      <c r="F14" t="s">
        <v>16</v>
      </c>
      <c r="G14">
        <v>4166</v>
      </c>
      <c r="H14">
        <v>0</v>
      </c>
      <c r="I14">
        <v>40</v>
      </c>
      <c r="J14">
        <v>180</v>
      </c>
      <c r="L14" t="s">
        <v>17</v>
      </c>
    </row>
    <row r="15" spans="1:12" x14ac:dyDescent="0.25">
      <c r="A15" t="s">
        <v>35</v>
      </c>
      <c r="B15" t="s">
        <v>13</v>
      </c>
      <c r="C15" t="s">
        <v>14</v>
      </c>
      <c r="D15">
        <v>2</v>
      </c>
      <c r="E15" t="s">
        <v>15</v>
      </c>
      <c r="G15">
        <v>12173</v>
      </c>
      <c r="H15">
        <v>0</v>
      </c>
      <c r="I15">
        <v>166</v>
      </c>
      <c r="J15">
        <v>360</v>
      </c>
      <c r="K15">
        <v>0</v>
      </c>
      <c r="L15" t="s">
        <v>26</v>
      </c>
    </row>
    <row r="16" spans="1:12" x14ac:dyDescent="0.25">
      <c r="A16" t="s">
        <v>36</v>
      </c>
      <c r="B16" t="s">
        <v>25</v>
      </c>
      <c r="C16" t="s">
        <v>16</v>
      </c>
      <c r="D16">
        <v>0</v>
      </c>
      <c r="E16" t="s">
        <v>15</v>
      </c>
      <c r="F16" t="s">
        <v>16</v>
      </c>
      <c r="G16">
        <v>4666</v>
      </c>
      <c r="H16">
        <v>0</v>
      </c>
      <c r="I16">
        <v>124</v>
      </c>
      <c r="J16">
        <v>360</v>
      </c>
      <c r="K16">
        <v>1</v>
      </c>
      <c r="L16" t="s">
        <v>26</v>
      </c>
    </row>
    <row r="17" spans="1:12" x14ac:dyDescent="0.25">
      <c r="A17" t="s">
        <v>37</v>
      </c>
      <c r="B17" t="s">
        <v>13</v>
      </c>
      <c r="C17" t="s">
        <v>16</v>
      </c>
      <c r="D17">
        <v>1</v>
      </c>
      <c r="E17" t="s">
        <v>15</v>
      </c>
      <c r="F17" t="s">
        <v>16</v>
      </c>
      <c r="G17">
        <v>5667</v>
      </c>
      <c r="H17">
        <v>0</v>
      </c>
      <c r="I17">
        <v>131</v>
      </c>
      <c r="J17">
        <v>360</v>
      </c>
      <c r="K17">
        <v>1</v>
      </c>
      <c r="L17" t="s">
        <v>17</v>
      </c>
    </row>
    <row r="18" spans="1:12" x14ac:dyDescent="0.25">
      <c r="A18" t="s">
        <v>38</v>
      </c>
      <c r="B18" t="s">
        <v>13</v>
      </c>
      <c r="C18" t="s">
        <v>14</v>
      </c>
      <c r="D18">
        <v>2</v>
      </c>
      <c r="E18" t="s">
        <v>15</v>
      </c>
      <c r="F18" t="s">
        <v>16</v>
      </c>
      <c r="G18">
        <v>4583</v>
      </c>
      <c r="H18">
        <v>2916</v>
      </c>
      <c r="I18">
        <v>200</v>
      </c>
      <c r="J18">
        <v>360</v>
      </c>
      <c r="K18">
        <v>1</v>
      </c>
      <c r="L18" t="s">
        <v>17</v>
      </c>
    </row>
    <row r="19" spans="1:12" x14ac:dyDescent="0.25">
      <c r="A19" t="s">
        <v>39</v>
      </c>
      <c r="B19" t="s">
        <v>13</v>
      </c>
      <c r="C19" t="s">
        <v>14</v>
      </c>
      <c r="D19" t="s">
        <v>34</v>
      </c>
      <c r="E19" t="s">
        <v>15</v>
      </c>
      <c r="F19" t="s">
        <v>16</v>
      </c>
      <c r="G19">
        <v>3786</v>
      </c>
      <c r="H19">
        <v>333</v>
      </c>
      <c r="I19">
        <v>126</v>
      </c>
      <c r="J19">
        <v>360</v>
      </c>
      <c r="K19">
        <v>1</v>
      </c>
      <c r="L19" t="s">
        <v>26</v>
      </c>
    </row>
    <row r="20" spans="1:12" x14ac:dyDescent="0.25">
      <c r="A20" t="s">
        <v>40</v>
      </c>
      <c r="B20" t="s">
        <v>13</v>
      </c>
      <c r="C20" t="s">
        <v>14</v>
      </c>
      <c r="D20">
        <v>0</v>
      </c>
      <c r="E20" t="s">
        <v>15</v>
      </c>
      <c r="F20" t="s">
        <v>16</v>
      </c>
      <c r="G20">
        <v>9226</v>
      </c>
      <c r="H20">
        <v>7916</v>
      </c>
      <c r="I20">
        <v>300</v>
      </c>
      <c r="J20">
        <v>360</v>
      </c>
      <c r="K20">
        <v>1</v>
      </c>
      <c r="L20" t="s">
        <v>17</v>
      </c>
    </row>
    <row r="21" spans="1:12" x14ac:dyDescent="0.25">
      <c r="A21" t="s">
        <v>41</v>
      </c>
      <c r="B21" t="s">
        <v>13</v>
      </c>
      <c r="C21" t="s">
        <v>16</v>
      </c>
      <c r="D21">
        <v>0</v>
      </c>
      <c r="E21" t="s">
        <v>15</v>
      </c>
      <c r="F21" t="s">
        <v>16</v>
      </c>
      <c r="G21">
        <v>1300</v>
      </c>
      <c r="H21">
        <v>3470</v>
      </c>
      <c r="I21">
        <v>100</v>
      </c>
      <c r="J21">
        <v>180</v>
      </c>
      <c r="K21">
        <v>1</v>
      </c>
      <c r="L21" t="s">
        <v>26</v>
      </c>
    </row>
    <row r="22" spans="1:12" x14ac:dyDescent="0.25">
      <c r="A22" t="s">
        <v>42</v>
      </c>
      <c r="B22" t="s">
        <v>13</v>
      </c>
      <c r="C22" t="s">
        <v>14</v>
      </c>
      <c r="D22">
        <v>1</v>
      </c>
      <c r="E22" t="s">
        <v>22</v>
      </c>
      <c r="F22" t="s">
        <v>16</v>
      </c>
      <c r="G22">
        <v>1888</v>
      </c>
      <c r="H22">
        <v>1620</v>
      </c>
      <c r="I22">
        <v>48</v>
      </c>
      <c r="J22">
        <v>360</v>
      </c>
      <c r="K22">
        <v>1</v>
      </c>
      <c r="L22" t="s">
        <v>17</v>
      </c>
    </row>
    <row r="23" spans="1:12" x14ac:dyDescent="0.25">
      <c r="A23" t="s">
        <v>43</v>
      </c>
      <c r="B23" t="s">
        <v>25</v>
      </c>
      <c r="C23" t="s">
        <v>16</v>
      </c>
      <c r="D23" t="s">
        <v>34</v>
      </c>
      <c r="E23" t="s">
        <v>22</v>
      </c>
      <c r="F23" t="s">
        <v>16</v>
      </c>
      <c r="G23">
        <v>2083</v>
      </c>
      <c r="H23">
        <v>0</v>
      </c>
      <c r="I23">
        <v>28</v>
      </c>
      <c r="J23">
        <v>180</v>
      </c>
      <c r="K23">
        <v>1</v>
      </c>
      <c r="L23" t="s">
        <v>17</v>
      </c>
    </row>
    <row r="24" spans="1:12" x14ac:dyDescent="0.25">
      <c r="A24" t="s">
        <v>44</v>
      </c>
      <c r="C24" t="s">
        <v>16</v>
      </c>
      <c r="D24">
        <v>0</v>
      </c>
      <c r="E24" t="s">
        <v>15</v>
      </c>
      <c r="F24" t="s">
        <v>16</v>
      </c>
      <c r="G24">
        <v>3909</v>
      </c>
      <c r="H24">
        <v>0</v>
      </c>
      <c r="I24">
        <v>101</v>
      </c>
      <c r="J24">
        <v>360</v>
      </c>
      <c r="K24">
        <v>1</v>
      </c>
      <c r="L24" t="s">
        <v>17</v>
      </c>
    </row>
    <row r="25" spans="1:12" x14ac:dyDescent="0.25">
      <c r="A25" t="s">
        <v>45</v>
      </c>
      <c r="B25" t="s">
        <v>25</v>
      </c>
      <c r="C25" t="s">
        <v>16</v>
      </c>
      <c r="D25">
        <v>0</v>
      </c>
      <c r="E25" t="s">
        <v>22</v>
      </c>
      <c r="F25" t="s">
        <v>16</v>
      </c>
      <c r="G25">
        <v>3765</v>
      </c>
      <c r="H25">
        <v>0</v>
      </c>
      <c r="I25">
        <v>125</v>
      </c>
      <c r="J25">
        <v>360</v>
      </c>
      <c r="K25">
        <v>1</v>
      </c>
      <c r="L25" t="s">
        <v>17</v>
      </c>
    </row>
    <row r="26" spans="1:12" x14ac:dyDescent="0.25">
      <c r="A26" t="s">
        <v>46</v>
      </c>
      <c r="B26" t="s">
        <v>13</v>
      </c>
      <c r="C26" t="s">
        <v>14</v>
      </c>
      <c r="D26">
        <v>0</v>
      </c>
      <c r="E26" t="s">
        <v>15</v>
      </c>
      <c r="F26" t="s">
        <v>16</v>
      </c>
      <c r="G26">
        <v>5400</v>
      </c>
      <c r="H26">
        <v>4380</v>
      </c>
      <c r="I26">
        <v>290</v>
      </c>
      <c r="J26">
        <v>360</v>
      </c>
      <c r="K26">
        <v>1</v>
      </c>
      <c r="L26" t="s">
        <v>17</v>
      </c>
    </row>
    <row r="27" spans="1:12" x14ac:dyDescent="0.25">
      <c r="A27" t="s">
        <v>47</v>
      </c>
      <c r="B27" t="s">
        <v>13</v>
      </c>
      <c r="C27" t="s">
        <v>16</v>
      </c>
      <c r="D27">
        <v>0</v>
      </c>
      <c r="E27" t="s">
        <v>15</v>
      </c>
      <c r="F27" t="s">
        <v>16</v>
      </c>
      <c r="G27">
        <v>0</v>
      </c>
      <c r="H27">
        <v>24000</v>
      </c>
      <c r="I27">
        <v>148</v>
      </c>
      <c r="J27">
        <v>360</v>
      </c>
      <c r="K27">
        <v>0</v>
      </c>
      <c r="L27" t="s">
        <v>28</v>
      </c>
    </row>
    <row r="28" spans="1:12" x14ac:dyDescent="0.25">
      <c r="A28" t="s">
        <v>48</v>
      </c>
      <c r="B28" t="s">
        <v>13</v>
      </c>
      <c r="C28" t="s">
        <v>14</v>
      </c>
      <c r="D28">
        <v>2</v>
      </c>
      <c r="E28" t="s">
        <v>15</v>
      </c>
      <c r="F28" t="s">
        <v>16</v>
      </c>
      <c r="G28">
        <v>4363</v>
      </c>
      <c r="H28">
        <v>1250</v>
      </c>
      <c r="I28">
        <v>140</v>
      </c>
      <c r="J28">
        <v>360</v>
      </c>
      <c r="L28" t="s">
        <v>17</v>
      </c>
    </row>
    <row r="29" spans="1:12" x14ac:dyDescent="0.25">
      <c r="A29" t="s">
        <v>49</v>
      </c>
      <c r="B29" t="s">
        <v>13</v>
      </c>
      <c r="C29" t="s">
        <v>14</v>
      </c>
      <c r="D29">
        <v>0</v>
      </c>
      <c r="E29" t="s">
        <v>15</v>
      </c>
      <c r="F29" t="s">
        <v>16</v>
      </c>
      <c r="G29">
        <v>7500</v>
      </c>
      <c r="H29">
        <v>3750</v>
      </c>
      <c r="I29">
        <v>275</v>
      </c>
      <c r="J29">
        <v>360</v>
      </c>
      <c r="K29">
        <v>1</v>
      </c>
      <c r="L29" t="s">
        <v>17</v>
      </c>
    </row>
    <row r="30" spans="1:12" x14ac:dyDescent="0.25">
      <c r="A30" t="s">
        <v>50</v>
      </c>
      <c r="B30" t="s">
        <v>13</v>
      </c>
      <c r="C30" t="s">
        <v>14</v>
      </c>
      <c r="D30">
        <v>0</v>
      </c>
      <c r="E30" t="s">
        <v>15</v>
      </c>
      <c r="F30" t="s">
        <v>16</v>
      </c>
      <c r="G30">
        <v>3772</v>
      </c>
      <c r="H30">
        <v>833</v>
      </c>
      <c r="I30">
        <v>57</v>
      </c>
      <c r="J30">
        <v>360</v>
      </c>
      <c r="L30" t="s">
        <v>26</v>
      </c>
    </row>
    <row r="31" spans="1:12" x14ac:dyDescent="0.25">
      <c r="A31" t="s">
        <v>51</v>
      </c>
      <c r="B31" t="s">
        <v>13</v>
      </c>
      <c r="C31" t="s">
        <v>16</v>
      </c>
      <c r="D31">
        <v>0</v>
      </c>
      <c r="E31" t="s">
        <v>15</v>
      </c>
      <c r="F31" t="s">
        <v>16</v>
      </c>
      <c r="G31">
        <v>2942</v>
      </c>
      <c r="H31">
        <v>2382</v>
      </c>
      <c r="I31">
        <v>125</v>
      </c>
      <c r="J31">
        <v>180</v>
      </c>
      <c r="K31">
        <v>1</v>
      </c>
      <c r="L31" t="s">
        <v>17</v>
      </c>
    </row>
    <row r="32" spans="1:12" x14ac:dyDescent="0.25">
      <c r="A32" t="s">
        <v>52</v>
      </c>
      <c r="B32" t="s">
        <v>25</v>
      </c>
      <c r="C32" t="s">
        <v>16</v>
      </c>
      <c r="D32">
        <v>0</v>
      </c>
      <c r="E32" t="s">
        <v>22</v>
      </c>
      <c r="F32" t="s">
        <v>16</v>
      </c>
      <c r="G32">
        <v>2478</v>
      </c>
      <c r="H32">
        <v>0</v>
      </c>
      <c r="I32">
        <v>75</v>
      </c>
      <c r="J32">
        <v>360</v>
      </c>
      <c r="K32">
        <v>1</v>
      </c>
      <c r="L32" t="s">
        <v>26</v>
      </c>
    </row>
    <row r="33" spans="1:12" x14ac:dyDescent="0.25">
      <c r="A33" t="s">
        <v>53</v>
      </c>
      <c r="B33" t="s">
        <v>13</v>
      </c>
      <c r="C33" t="s">
        <v>14</v>
      </c>
      <c r="D33">
        <v>2</v>
      </c>
      <c r="E33" t="s">
        <v>15</v>
      </c>
      <c r="F33" t="s">
        <v>16</v>
      </c>
      <c r="G33">
        <v>6250</v>
      </c>
      <c r="H33">
        <v>820</v>
      </c>
      <c r="I33">
        <v>192</v>
      </c>
      <c r="J33">
        <v>360</v>
      </c>
      <c r="K33">
        <v>1</v>
      </c>
      <c r="L33" t="s">
        <v>17</v>
      </c>
    </row>
    <row r="34" spans="1:12" x14ac:dyDescent="0.25">
      <c r="A34" t="s">
        <v>54</v>
      </c>
      <c r="B34" t="s">
        <v>13</v>
      </c>
      <c r="C34" t="s">
        <v>16</v>
      </c>
      <c r="D34">
        <v>0</v>
      </c>
      <c r="E34" t="s">
        <v>15</v>
      </c>
      <c r="F34" t="s">
        <v>16</v>
      </c>
      <c r="G34">
        <v>3268</v>
      </c>
      <c r="H34">
        <v>1683</v>
      </c>
      <c r="I34">
        <v>152</v>
      </c>
      <c r="J34">
        <v>360</v>
      </c>
      <c r="K34">
        <v>1</v>
      </c>
      <c r="L34" t="s">
        <v>26</v>
      </c>
    </row>
    <row r="35" spans="1:12" x14ac:dyDescent="0.25">
      <c r="A35" t="s">
        <v>55</v>
      </c>
      <c r="B35" t="s">
        <v>13</v>
      </c>
      <c r="C35" t="s">
        <v>14</v>
      </c>
      <c r="D35">
        <v>0</v>
      </c>
      <c r="E35" t="s">
        <v>15</v>
      </c>
      <c r="F35" t="s">
        <v>16</v>
      </c>
      <c r="G35">
        <v>2783</v>
      </c>
      <c r="H35">
        <v>2708</v>
      </c>
      <c r="I35">
        <v>158</v>
      </c>
      <c r="J35">
        <v>360</v>
      </c>
      <c r="K35">
        <v>1</v>
      </c>
      <c r="L35" t="s">
        <v>17</v>
      </c>
    </row>
    <row r="36" spans="1:12" x14ac:dyDescent="0.25">
      <c r="A36" t="s">
        <v>56</v>
      </c>
      <c r="B36" t="s">
        <v>13</v>
      </c>
      <c r="C36" t="s">
        <v>14</v>
      </c>
      <c r="D36">
        <v>0</v>
      </c>
      <c r="E36" t="s">
        <v>15</v>
      </c>
      <c r="F36" t="s">
        <v>16</v>
      </c>
      <c r="G36">
        <v>2740</v>
      </c>
      <c r="H36">
        <v>1541</v>
      </c>
      <c r="I36">
        <v>101</v>
      </c>
      <c r="J36">
        <v>360</v>
      </c>
      <c r="K36">
        <v>1</v>
      </c>
      <c r="L36" t="s">
        <v>17</v>
      </c>
    </row>
    <row r="37" spans="1:12" x14ac:dyDescent="0.25">
      <c r="A37" t="s">
        <v>57</v>
      </c>
      <c r="B37" t="s">
        <v>13</v>
      </c>
      <c r="C37" t="s">
        <v>16</v>
      </c>
      <c r="D37">
        <v>0</v>
      </c>
      <c r="E37" t="s">
        <v>15</v>
      </c>
      <c r="F37" t="s">
        <v>16</v>
      </c>
      <c r="G37">
        <v>3150</v>
      </c>
      <c r="H37">
        <v>0</v>
      </c>
      <c r="I37">
        <v>176</v>
      </c>
      <c r="J37">
        <v>360</v>
      </c>
      <c r="K37">
        <v>0</v>
      </c>
      <c r="L37" t="s">
        <v>26</v>
      </c>
    </row>
    <row r="38" spans="1:12" x14ac:dyDescent="0.25">
      <c r="A38" t="s">
        <v>58</v>
      </c>
      <c r="B38" t="s">
        <v>13</v>
      </c>
      <c r="C38" t="s">
        <v>14</v>
      </c>
      <c r="D38">
        <v>2</v>
      </c>
      <c r="E38" t="s">
        <v>15</v>
      </c>
      <c r="G38">
        <v>7350</v>
      </c>
      <c r="H38">
        <v>4029</v>
      </c>
      <c r="I38">
        <v>185</v>
      </c>
      <c r="J38">
        <v>180</v>
      </c>
      <c r="K38">
        <v>1</v>
      </c>
      <c r="L38" t="s">
        <v>17</v>
      </c>
    </row>
    <row r="39" spans="1:12" x14ac:dyDescent="0.25">
      <c r="A39" t="s">
        <v>59</v>
      </c>
      <c r="B39" t="s">
        <v>13</v>
      </c>
      <c r="C39" t="s">
        <v>14</v>
      </c>
      <c r="D39">
        <v>0</v>
      </c>
      <c r="E39" t="s">
        <v>15</v>
      </c>
      <c r="F39" t="s">
        <v>14</v>
      </c>
      <c r="G39">
        <v>2267</v>
      </c>
      <c r="H39">
        <v>2792</v>
      </c>
      <c r="I39">
        <v>90</v>
      </c>
      <c r="J39">
        <v>360</v>
      </c>
      <c r="K39">
        <v>1</v>
      </c>
      <c r="L39" t="s">
        <v>17</v>
      </c>
    </row>
    <row r="40" spans="1:12" x14ac:dyDescent="0.25">
      <c r="A40" t="s">
        <v>60</v>
      </c>
      <c r="B40" t="s">
        <v>13</v>
      </c>
      <c r="C40" t="s">
        <v>16</v>
      </c>
      <c r="D40">
        <v>0</v>
      </c>
      <c r="E40" t="s">
        <v>15</v>
      </c>
      <c r="F40" t="s">
        <v>14</v>
      </c>
      <c r="G40">
        <v>5833</v>
      </c>
      <c r="H40">
        <v>0</v>
      </c>
      <c r="I40">
        <v>116</v>
      </c>
      <c r="J40">
        <v>360</v>
      </c>
      <c r="K40">
        <v>1</v>
      </c>
      <c r="L40" t="s">
        <v>17</v>
      </c>
    </row>
    <row r="41" spans="1:12" x14ac:dyDescent="0.25">
      <c r="A41" t="s">
        <v>61</v>
      </c>
      <c r="B41" t="s">
        <v>13</v>
      </c>
      <c r="C41" t="s">
        <v>16</v>
      </c>
      <c r="D41">
        <v>0</v>
      </c>
      <c r="E41" t="s">
        <v>15</v>
      </c>
      <c r="F41" t="s">
        <v>16</v>
      </c>
      <c r="G41">
        <v>3643</v>
      </c>
      <c r="H41">
        <v>1963</v>
      </c>
      <c r="I41">
        <v>138</v>
      </c>
      <c r="J41">
        <v>360</v>
      </c>
      <c r="K41">
        <v>1</v>
      </c>
      <c r="L41" t="s">
        <v>17</v>
      </c>
    </row>
    <row r="42" spans="1:12" x14ac:dyDescent="0.25">
      <c r="A42" t="s">
        <v>62</v>
      </c>
      <c r="B42" t="s">
        <v>13</v>
      </c>
      <c r="C42" t="s">
        <v>14</v>
      </c>
      <c r="D42">
        <v>0</v>
      </c>
      <c r="E42" t="s">
        <v>15</v>
      </c>
      <c r="F42" t="s">
        <v>16</v>
      </c>
      <c r="G42">
        <v>5629</v>
      </c>
      <c r="H42">
        <v>818</v>
      </c>
      <c r="I42">
        <v>100</v>
      </c>
      <c r="J42">
        <v>360</v>
      </c>
      <c r="K42">
        <v>1</v>
      </c>
      <c r="L42" t="s">
        <v>17</v>
      </c>
    </row>
    <row r="43" spans="1:12" x14ac:dyDescent="0.25">
      <c r="A43" t="s">
        <v>63</v>
      </c>
      <c r="B43" t="s">
        <v>25</v>
      </c>
      <c r="C43" t="s">
        <v>16</v>
      </c>
      <c r="D43">
        <v>0</v>
      </c>
      <c r="E43" t="s">
        <v>15</v>
      </c>
      <c r="F43" t="s">
        <v>16</v>
      </c>
      <c r="G43">
        <v>3644</v>
      </c>
      <c r="H43">
        <v>0</v>
      </c>
      <c r="I43">
        <v>110</v>
      </c>
      <c r="J43">
        <v>360</v>
      </c>
      <c r="K43">
        <v>1</v>
      </c>
      <c r="L43" t="s">
        <v>17</v>
      </c>
    </row>
    <row r="44" spans="1:12" x14ac:dyDescent="0.25">
      <c r="A44" t="s">
        <v>64</v>
      </c>
      <c r="B44" t="s">
        <v>13</v>
      </c>
      <c r="C44" t="s">
        <v>14</v>
      </c>
      <c r="D44">
        <v>0</v>
      </c>
      <c r="E44" t="s">
        <v>22</v>
      </c>
      <c r="F44" t="s">
        <v>16</v>
      </c>
      <c r="G44">
        <v>1750</v>
      </c>
      <c r="H44">
        <v>2024</v>
      </c>
      <c r="I44">
        <v>90</v>
      </c>
      <c r="J44">
        <v>360</v>
      </c>
      <c r="K44">
        <v>1</v>
      </c>
      <c r="L44" t="s">
        <v>26</v>
      </c>
    </row>
    <row r="45" spans="1:12" x14ac:dyDescent="0.25">
      <c r="A45" t="s">
        <v>65</v>
      </c>
      <c r="B45" t="s">
        <v>13</v>
      </c>
      <c r="C45" t="s">
        <v>16</v>
      </c>
      <c r="D45">
        <v>0</v>
      </c>
      <c r="E45" t="s">
        <v>15</v>
      </c>
      <c r="F45" t="s">
        <v>16</v>
      </c>
      <c r="G45">
        <v>6500</v>
      </c>
      <c r="H45">
        <v>2600</v>
      </c>
      <c r="I45">
        <v>200</v>
      </c>
      <c r="J45">
        <v>360</v>
      </c>
      <c r="K45">
        <v>1</v>
      </c>
      <c r="L45" t="s">
        <v>26</v>
      </c>
    </row>
    <row r="46" spans="1:12" x14ac:dyDescent="0.25">
      <c r="A46" t="s">
        <v>66</v>
      </c>
      <c r="B46" t="s">
        <v>25</v>
      </c>
      <c r="C46" t="s">
        <v>16</v>
      </c>
      <c r="D46">
        <v>0</v>
      </c>
      <c r="E46" t="s">
        <v>15</v>
      </c>
      <c r="F46" t="s">
        <v>16</v>
      </c>
      <c r="G46">
        <v>3666</v>
      </c>
      <c r="H46">
        <v>0</v>
      </c>
      <c r="I46">
        <v>84</v>
      </c>
      <c r="J46">
        <v>360</v>
      </c>
      <c r="K46">
        <v>1</v>
      </c>
      <c r="L46" t="s">
        <v>17</v>
      </c>
    </row>
    <row r="47" spans="1:12" x14ac:dyDescent="0.25">
      <c r="A47" t="s">
        <v>67</v>
      </c>
      <c r="B47" t="s">
        <v>13</v>
      </c>
      <c r="C47" t="s">
        <v>14</v>
      </c>
      <c r="D47">
        <v>0</v>
      </c>
      <c r="E47" t="s">
        <v>15</v>
      </c>
      <c r="F47" t="s">
        <v>16</v>
      </c>
      <c r="G47">
        <v>4260</v>
      </c>
      <c r="H47">
        <v>3900</v>
      </c>
      <c r="I47">
        <v>185</v>
      </c>
      <c r="L47" t="s">
        <v>17</v>
      </c>
    </row>
    <row r="48" spans="1:12" x14ac:dyDescent="0.25">
      <c r="A48" t="s">
        <v>68</v>
      </c>
      <c r="B48" t="s">
        <v>13</v>
      </c>
      <c r="C48" t="s">
        <v>14</v>
      </c>
      <c r="E48" t="s">
        <v>22</v>
      </c>
      <c r="F48" t="s">
        <v>16</v>
      </c>
      <c r="G48">
        <v>4163</v>
      </c>
      <c r="H48">
        <v>1475</v>
      </c>
      <c r="I48">
        <v>162</v>
      </c>
      <c r="J48">
        <v>360</v>
      </c>
      <c r="K48">
        <v>1</v>
      </c>
      <c r="L48" t="s">
        <v>17</v>
      </c>
    </row>
    <row r="49" spans="1:12" x14ac:dyDescent="0.25">
      <c r="A49" t="s">
        <v>69</v>
      </c>
      <c r="B49" t="s">
        <v>13</v>
      </c>
      <c r="C49" t="s">
        <v>16</v>
      </c>
      <c r="D49">
        <v>0</v>
      </c>
      <c r="E49" t="s">
        <v>22</v>
      </c>
      <c r="F49" t="s">
        <v>16</v>
      </c>
      <c r="G49">
        <v>2356</v>
      </c>
      <c r="H49">
        <v>1902</v>
      </c>
      <c r="I49">
        <v>108</v>
      </c>
      <c r="J49">
        <v>360</v>
      </c>
      <c r="K49">
        <v>1</v>
      </c>
      <c r="L49" t="s">
        <v>26</v>
      </c>
    </row>
    <row r="50" spans="1:12" x14ac:dyDescent="0.25">
      <c r="A50" t="s">
        <v>70</v>
      </c>
      <c r="B50" t="s">
        <v>13</v>
      </c>
      <c r="C50" t="s">
        <v>16</v>
      </c>
      <c r="D50">
        <v>0</v>
      </c>
      <c r="E50" t="s">
        <v>15</v>
      </c>
      <c r="F50" t="s">
        <v>16</v>
      </c>
      <c r="G50">
        <v>6792</v>
      </c>
      <c r="H50">
        <v>3338</v>
      </c>
      <c r="I50">
        <v>187</v>
      </c>
      <c r="K50">
        <v>1</v>
      </c>
      <c r="L50" t="s">
        <v>17</v>
      </c>
    </row>
    <row r="51" spans="1:12" x14ac:dyDescent="0.25">
      <c r="A51" t="s">
        <v>71</v>
      </c>
      <c r="B51" t="s">
        <v>13</v>
      </c>
      <c r="C51" t="s">
        <v>14</v>
      </c>
      <c r="D51" t="s">
        <v>34</v>
      </c>
      <c r="E51" t="s">
        <v>22</v>
      </c>
      <c r="F51" t="s">
        <v>14</v>
      </c>
      <c r="G51">
        <v>8000</v>
      </c>
      <c r="H51">
        <v>250</v>
      </c>
      <c r="I51">
        <v>187</v>
      </c>
      <c r="J51">
        <v>360</v>
      </c>
      <c r="K51">
        <v>1</v>
      </c>
      <c r="L51" t="s">
        <v>26</v>
      </c>
    </row>
    <row r="52" spans="1:12" x14ac:dyDescent="0.25">
      <c r="A52" t="s">
        <v>72</v>
      </c>
      <c r="B52" t="s">
        <v>13</v>
      </c>
      <c r="C52" t="s">
        <v>14</v>
      </c>
      <c r="D52">
        <v>1</v>
      </c>
      <c r="E52" t="s">
        <v>15</v>
      </c>
      <c r="F52" t="s">
        <v>16</v>
      </c>
      <c r="G52">
        <v>2419</v>
      </c>
      <c r="H52">
        <v>1707</v>
      </c>
      <c r="I52">
        <v>124</v>
      </c>
      <c r="J52">
        <v>360</v>
      </c>
      <c r="K52">
        <v>1</v>
      </c>
      <c r="L52" t="s">
        <v>17</v>
      </c>
    </row>
    <row r="53" spans="1:12" x14ac:dyDescent="0.25">
      <c r="A53" t="s">
        <v>73</v>
      </c>
      <c r="C53" t="s">
        <v>14</v>
      </c>
      <c r="D53" t="s">
        <v>34</v>
      </c>
      <c r="E53" t="s">
        <v>22</v>
      </c>
      <c r="F53" t="s">
        <v>16</v>
      </c>
      <c r="G53">
        <v>3500</v>
      </c>
      <c r="H53">
        <v>833</v>
      </c>
      <c r="I53">
        <v>120</v>
      </c>
      <c r="J53">
        <v>360</v>
      </c>
      <c r="K53">
        <v>1</v>
      </c>
      <c r="L53" t="s">
        <v>26</v>
      </c>
    </row>
    <row r="54" spans="1:12" x14ac:dyDescent="0.25">
      <c r="A54" t="s">
        <v>74</v>
      </c>
      <c r="B54" t="s">
        <v>13</v>
      </c>
      <c r="C54" t="s">
        <v>14</v>
      </c>
      <c r="D54">
        <v>1</v>
      </c>
      <c r="E54" t="s">
        <v>15</v>
      </c>
      <c r="F54" t="s">
        <v>16</v>
      </c>
      <c r="G54">
        <v>3500</v>
      </c>
      <c r="H54">
        <v>3077</v>
      </c>
      <c r="I54">
        <v>160</v>
      </c>
      <c r="J54">
        <v>360</v>
      </c>
      <c r="K54">
        <v>1</v>
      </c>
      <c r="L54" t="s">
        <v>26</v>
      </c>
    </row>
    <row r="55" spans="1:12" x14ac:dyDescent="0.25">
      <c r="A55" t="s">
        <v>75</v>
      </c>
      <c r="B55" t="s">
        <v>13</v>
      </c>
      <c r="C55" t="s">
        <v>14</v>
      </c>
      <c r="D55">
        <v>2</v>
      </c>
      <c r="E55" t="s">
        <v>15</v>
      </c>
      <c r="F55" t="s">
        <v>16</v>
      </c>
      <c r="G55">
        <v>4116</v>
      </c>
      <c r="H55">
        <v>1000</v>
      </c>
      <c r="I55">
        <v>30</v>
      </c>
      <c r="J55">
        <v>180</v>
      </c>
      <c r="K55">
        <v>1</v>
      </c>
      <c r="L55" t="s">
        <v>17</v>
      </c>
    </row>
    <row r="56" spans="1:12" x14ac:dyDescent="0.25">
      <c r="A56" t="s">
        <v>76</v>
      </c>
      <c r="B56" t="s">
        <v>13</v>
      </c>
      <c r="C56" t="s">
        <v>14</v>
      </c>
      <c r="D56">
        <v>0</v>
      </c>
      <c r="E56" t="s">
        <v>22</v>
      </c>
      <c r="F56" t="s">
        <v>14</v>
      </c>
      <c r="G56">
        <v>5293</v>
      </c>
      <c r="H56">
        <v>0</v>
      </c>
      <c r="I56">
        <v>92</v>
      </c>
      <c r="J56">
        <v>360</v>
      </c>
      <c r="K56">
        <v>1</v>
      </c>
      <c r="L56" t="s">
        <v>17</v>
      </c>
    </row>
    <row r="57" spans="1:12" x14ac:dyDescent="0.25">
      <c r="A57" t="s">
        <v>77</v>
      </c>
      <c r="B57" t="s">
        <v>13</v>
      </c>
      <c r="C57" t="s">
        <v>16</v>
      </c>
      <c r="D57">
        <v>0</v>
      </c>
      <c r="E57" t="s">
        <v>15</v>
      </c>
      <c r="F57" t="s">
        <v>16</v>
      </c>
      <c r="G57">
        <v>2750</v>
      </c>
      <c r="H57">
        <v>0</v>
      </c>
      <c r="I57">
        <v>130</v>
      </c>
      <c r="J57">
        <v>360</v>
      </c>
      <c r="K57">
        <v>0</v>
      </c>
      <c r="L57" t="s">
        <v>17</v>
      </c>
    </row>
    <row r="58" spans="1:12" x14ac:dyDescent="0.25">
      <c r="A58" t="s">
        <v>78</v>
      </c>
      <c r="B58" t="s">
        <v>25</v>
      </c>
      <c r="C58" t="s">
        <v>16</v>
      </c>
      <c r="D58">
        <v>0</v>
      </c>
      <c r="E58" t="s">
        <v>22</v>
      </c>
      <c r="F58" t="s">
        <v>16</v>
      </c>
      <c r="G58">
        <v>4402</v>
      </c>
      <c r="H58">
        <v>0</v>
      </c>
      <c r="I58">
        <v>130</v>
      </c>
      <c r="J58">
        <v>360</v>
      </c>
      <c r="K58">
        <v>1</v>
      </c>
      <c r="L58" t="s">
        <v>28</v>
      </c>
    </row>
    <row r="59" spans="1:12" x14ac:dyDescent="0.25">
      <c r="A59" t="s">
        <v>79</v>
      </c>
      <c r="B59" t="s">
        <v>13</v>
      </c>
      <c r="C59" t="s">
        <v>14</v>
      </c>
      <c r="D59">
        <v>2</v>
      </c>
      <c r="E59" t="s">
        <v>15</v>
      </c>
      <c r="F59" t="s">
        <v>16</v>
      </c>
      <c r="G59">
        <v>3613</v>
      </c>
      <c r="H59">
        <v>3539</v>
      </c>
      <c r="I59">
        <v>134</v>
      </c>
      <c r="J59">
        <v>180</v>
      </c>
      <c r="K59">
        <v>1</v>
      </c>
      <c r="L59" t="s">
        <v>26</v>
      </c>
    </row>
    <row r="60" spans="1:12" x14ac:dyDescent="0.25">
      <c r="A60" t="s">
        <v>80</v>
      </c>
      <c r="B60" t="s">
        <v>25</v>
      </c>
      <c r="C60" t="s">
        <v>14</v>
      </c>
      <c r="D60">
        <v>2</v>
      </c>
      <c r="E60" t="s">
        <v>15</v>
      </c>
      <c r="F60" t="s">
        <v>16</v>
      </c>
      <c r="G60">
        <v>2779</v>
      </c>
      <c r="H60">
        <v>3664</v>
      </c>
      <c r="I60">
        <v>176</v>
      </c>
      <c r="J60">
        <v>360</v>
      </c>
      <c r="K60">
        <v>0</v>
      </c>
      <c r="L60" t="s">
        <v>26</v>
      </c>
    </row>
    <row r="61" spans="1:12" x14ac:dyDescent="0.25">
      <c r="A61" t="s">
        <v>81</v>
      </c>
      <c r="B61" t="s">
        <v>13</v>
      </c>
      <c r="C61" t="s">
        <v>14</v>
      </c>
      <c r="D61" t="s">
        <v>34</v>
      </c>
      <c r="E61" t="s">
        <v>15</v>
      </c>
      <c r="F61" t="s">
        <v>16</v>
      </c>
      <c r="G61">
        <v>4720</v>
      </c>
      <c r="H61">
        <v>0</v>
      </c>
      <c r="I61">
        <v>90</v>
      </c>
      <c r="J61">
        <v>180</v>
      </c>
      <c r="K61">
        <v>1</v>
      </c>
      <c r="L61" t="s">
        <v>26</v>
      </c>
    </row>
    <row r="62" spans="1:12" x14ac:dyDescent="0.25">
      <c r="A62" t="s">
        <v>82</v>
      </c>
      <c r="B62" t="s">
        <v>13</v>
      </c>
      <c r="C62" t="s">
        <v>14</v>
      </c>
      <c r="D62">
        <v>0</v>
      </c>
      <c r="E62" t="s">
        <v>22</v>
      </c>
      <c r="F62" t="s">
        <v>16</v>
      </c>
      <c r="G62">
        <v>2415</v>
      </c>
      <c r="H62">
        <v>1721</v>
      </c>
      <c r="I62">
        <v>110</v>
      </c>
      <c r="J62">
        <v>360</v>
      </c>
      <c r="K62">
        <v>1</v>
      </c>
      <c r="L62" t="s">
        <v>26</v>
      </c>
    </row>
    <row r="63" spans="1:12" x14ac:dyDescent="0.25">
      <c r="A63" t="s">
        <v>83</v>
      </c>
      <c r="B63" t="s">
        <v>13</v>
      </c>
      <c r="C63" t="s">
        <v>14</v>
      </c>
      <c r="D63">
        <v>0</v>
      </c>
      <c r="E63" t="s">
        <v>15</v>
      </c>
      <c r="F63" t="s">
        <v>14</v>
      </c>
      <c r="G63">
        <v>7016</v>
      </c>
      <c r="H63">
        <v>292</v>
      </c>
      <c r="I63">
        <v>125</v>
      </c>
      <c r="J63">
        <v>360</v>
      </c>
      <c r="K63">
        <v>1</v>
      </c>
      <c r="L63" t="s">
        <v>17</v>
      </c>
    </row>
    <row r="64" spans="1:12" x14ac:dyDescent="0.25">
      <c r="A64" t="s">
        <v>84</v>
      </c>
      <c r="B64" t="s">
        <v>25</v>
      </c>
      <c r="C64" t="s">
        <v>16</v>
      </c>
      <c r="D64">
        <v>2</v>
      </c>
      <c r="E64" t="s">
        <v>15</v>
      </c>
      <c r="F64" t="s">
        <v>16</v>
      </c>
      <c r="G64">
        <v>4968</v>
      </c>
      <c r="H64">
        <v>0</v>
      </c>
      <c r="I64">
        <v>189</v>
      </c>
      <c r="J64">
        <v>360</v>
      </c>
      <c r="K64">
        <v>1</v>
      </c>
      <c r="L64" t="s">
        <v>26</v>
      </c>
    </row>
    <row r="65" spans="1:12" x14ac:dyDescent="0.25">
      <c r="A65" t="s">
        <v>85</v>
      </c>
      <c r="B65" t="s">
        <v>25</v>
      </c>
      <c r="C65" t="s">
        <v>16</v>
      </c>
      <c r="D65">
        <v>0</v>
      </c>
      <c r="E65" t="s">
        <v>15</v>
      </c>
      <c r="F65" t="s">
        <v>16</v>
      </c>
      <c r="G65">
        <v>2101</v>
      </c>
      <c r="H65">
        <v>1500</v>
      </c>
      <c r="I65">
        <v>108</v>
      </c>
      <c r="J65">
        <v>360</v>
      </c>
      <c r="K65">
        <v>0</v>
      </c>
      <c r="L65" t="s">
        <v>28</v>
      </c>
    </row>
    <row r="66" spans="1:12" x14ac:dyDescent="0.25">
      <c r="A66" t="s">
        <v>86</v>
      </c>
      <c r="B66" t="s">
        <v>13</v>
      </c>
      <c r="C66" t="s">
        <v>14</v>
      </c>
      <c r="D66" t="s">
        <v>34</v>
      </c>
      <c r="E66" t="s">
        <v>22</v>
      </c>
      <c r="F66" t="s">
        <v>16</v>
      </c>
      <c r="G66">
        <v>4490</v>
      </c>
      <c r="H66">
        <v>0</v>
      </c>
      <c r="I66">
        <v>125</v>
      </c>
      <c r="J66">
        <v>360</v>
      </c>
      <c r="K66">
        <v>1</v>
      </c>
      <c r="L66" t="s">
        <v>17</v>
      </c>
    </row>
    <row r="67" spans="1:12" x14ac:dyDescent="0.25">
      <c r="A67" t="s">
        <v>87</v>
      </c>
      <c r="B67" t="s">
        <v>13</v>
      </c>
      <c r="C67" t="s">
        <v>14</v>
      </c>
      <c r="D67">
        <v>0</v>
      </c>
      <c r="E67" t="s">
        <v>15</v>
      </c>
      <c r="F67" t="s">
        <v>16</v>
      </c>
      <c r="G67">
        <v>2917</v>
      </c>
      <c r="H67">
        <v>3583</v>
      </c>
      <c r="I67">
        <v>138</v>
      </c>
      <c r="J67">
        <v>360</v>
      </c>
      <c r="K67">
        <v>1</v>
      </c>
      <c r="L67" t="s">
        <v>26</v>
      </c>
    </row>
    <row r="68" spans="1:12" x14ac:dyDescent="0.25">
      <c r="A68" t="s">
        <v>88</v>
      </c>
      <c r="B68" t="s">
        <v>13</v>
      </c>
      <c r="C68" t="s">
        <v>14</v>
      </c>
      <c r="D68">
        <v>0</v>
      </c>
      <c r="E68" t="s">
        <v>22</v>
      </c>
      <c r="F68" t="s">
        <v>16</v>
      </c>
      <c r="G68">
        <v>4700</v>
      </c>
      <c r="H68">
        <v>0</v>
      </c>
      <c r="I68">
        <v>135</v>
      </c>
      <c r="J68">
        <v>360</v>
      </c>
      <c r="K68">
        <v>0</v>
      </c>
      <c r="L68" t="s">
        <v>26</v>
      </c>
    </row>
    <row r="69" spans="1:12" x14ac:dyDescent="0.25">
      <c r="A69" t="s">
        <v>89</v>
      </c>
      <c r="B69" t="s">
        <v>13</v>
      </c>
      <c r="C69" t="s">
        <v>14</v>
      </c>
      <c r="D69">
        <v>0</v>
      </c>
      <c r="E69" t="s">
        <v>15</v>
      </c>
      <c r="F69" t="s">
        <v>16</v>
      </c>
      <c r="G69">
        <v>3445</v>
      </c>
      <c r="H69">
        <v>0</v>
      </c>
      <c r="I69">
        <v>130</v>
      </c>
      <c r="J69">
        <v>360</v>
      </c>
      <c r="K69">
        <v>0</v>
      </c>
      <c r="L69" t="s">
        <v>26</v>
      </c>
    </row>
    <row r="70" spans="1:12" x14ac:dyDescent="0.25">
      <c r="A70" t="s">
        <v>90</v>
      </c>
      <c r="B70" t="s">
        <v>13</v>
      </c>
      <c r="C70" t="s">
        <v>14</v>
      </c>
      <c r="D70">
        <v>0</v>
      </c>
      <c r="E70" t="s">
        <v>15</v>
      </c>
      <c r="F70" t="s">
        <v>16</v>
      </c>
      <c r="G70">
        <v>7666</v>
      </c>
      <c r="H70">
        <v>0</v>
      </c>
      <c r="I70">
        <v>187</v>
      </c>
      <c r="J70">
        <v>360</v>
      </c>
      <c r="K70">
        <v>1</v>
      </c>
      <c r="L70" t="s">
        <v>26</v>
      </c>
    </row>
    <row r="71" spans="1:12" x14ac:dyDescent="0.25">
      <c r="A71" t="s">
        <v>91</v>
      </c>
      <c r="B71" t="s">
        <v>13</v>
      </c>
      <c r="C71" t="s">
        <v>14</v>
      </c>
      <c r="D71">
        <v>0</v>
      </c>
      <c r="E71" t="s">
        <v>15</v>
      </c>
      <c r="F71" t="s">
        <v>16</v>
      </c>
      <c r="G71">
        <v>2458</v>
      </c>
      <c r="H71">
        <v>5105</v>
      </c>
      <c r="I71">
        <v>188</v>
      </c>
      <c r="J71">
        <v>360</v>
      </c>
      <c r="K71">
        <v>0</v>
      </c>
      <c r="L71" t="s">
        <v>28</v>
      </c>
    </row>
    <row r="72" spans="1:12" x14ac:dyDescent="0.25">
      <c r="A72" t="s">
        <v>92</v>
      </c>
      <c r="B72" t="s">
        <v>25</v>
      </c>
      <c r="C72" t="s">
        <v>16</v>
      </c>
      <c r="E72" t="s">
        <v>15</v>
      </c>
      <c r="F72" t="s">
        <v>16</v>
      </c>
      <c r="G72">
        <v>3250</v>
      </c>
      <c r="H72">
        <v>0</v>
      </c>
      <c r="I72">
        <v>95</v>
      </c>
      <c r="J72">
        <v>360</v>
      </c>
      <c r="K72">
        <v>1</v>
      </c>
      <c r="L72" t="s">
        <v>26</v>
      </c>
    </row>
    <row r="73" spans="1:12" x14ac:dyDescent="0.25">
      <c r="A73" t="s">
        <v>93</v>
      </c>
      <c r="B73" t="s">
        <v>13</v>
      </c>
      <c r="C73" t="s">
        <v>16</v>
      </c>
      <c r="D73">
        <v>0</v>
      </c>
      <c r="E73" t="s">
        <v>15</v>
      </c>
      <c r="F73" t="s">
        <v>16</v>
      </c>
      <c r="G73">
        <v>4463</v>
      </c>
      <c r="H73">
        <v>0</v>
      </c>
      <c r="I73">
        <v>65</v>
      </c>
      <c r="J73">
        <v>360</v>
      </c>
      <c r="K73">
        <v>1</v>
      </c>
      <c r="L73" t="s">
        <v>26</v>
      </c>
    </row>
    <row r="74" spans="1:12" x14ac:dyDescent="0.25">
      <c r="A74" t="s">
        <v>94</v>
      </c>
      <c r="B74" t="s">
        <v>13</v>
      </c>
      <c r="C74" t="s">
        <v>14</v>
      </c>
      <c r="D74">
        <v>1</v>
      </c>
      <c r="E74" t="s">
        <v>15</v>
      </c>
      <c r="G74">
        <v>4083</v>
      </c>
      <c r="H74">
        <v>1775</v>
      </c>
      <c r="I74">
        <v>139</v>
      </c>
      <c r="J74">
        <v>60</v>
      </c>
      <c r="K74">
        <v>1</v>
      </c>
      <c r="L74" t="s">
        <v>17</v>
      </c>
    </row>
    <row r="75" spans="1:12" x14ac:dyDescent="0.25">
      <c r="A75" t="s">
        <v>95</v>
      </c>
      <c r="B75" t="s">
        <v>13</v>
      </c>
      <c r="C75" t="s">
        <v>14</v>
      </c>
      <c r="D75">
        <v>0</v>
      </c>
      <c r="E75" t="s">
        <v>15</v>
      </c>
      <c r="F75" t="s">
        <v>14</v>
      </c>
      <c r="G75">
        <v>3900</v>
      </c>
      <c r="H75">
        <v>2094</v>
      </c>
      <c r="I75">
        <v>232</v>
      </c>
      <c r="J75">
        <v>360</v>
      </c>
      <c r="K75">
        <v>1</v>
      </c>
      <c r="L75" t="s">
        <v>28</v>
      </c>
    </row>
    <row r="76" spans="1:12" x14ac:dyDescent="0.25">
      <c r="A76" t="s">
        <v>96</v>
      </c>
      <c r="B76" t="s">
        <v>13</v>
      </c>
      <c r="C76" t="s">
        <v>14</v>
      </c>
      <c r="D76">
        <v>0</v>
      </c>
      <c r="E76" t="s">
        <v>22</v>
      </c>
      <c r="F76" t="s">
        <v>16</v>
      </c>
      <c r="G76">
        <v>4750</v>
      </c>
      <c r="H76">
        <v>3583</v>
      </c>
      <c r="I76">
        <v>144</v>
      </c>
      <c r="J76">
        <v>360</v>
      </c>
      <c r="K76">
        <v>1</v>
      </c>
      <c r="L76" t="s">
        <v>26</v>
      </c>
    </row>
    <row r="77" spans="1:12" x14ac:dyDescent="0.25">
      <c r="A77" t="s">
        <v>97</v>
      </c>
      <c r="B77" t="s">
        <v>13</v>
      </c>
      <c r="C77" t="s">
        <v>16</v>
      </c>
      <c r="D77">
        <v>0</v>
      </c>
      <c r="E77" t="s">
        <v>15</v>
      </c>
      <c r="F77" t="s">
        <v>16</v>
      </c>
      <c r="G77">
        <v>3583</v>
      </c>
      <c r="H77">
        <v>3435</v>
      </c>
      <c r="I77">
        <v>155</v>
      </c>
      <c r="J77">
        <v>360</v>
      </c>
      <c r="K77">
        <v>1</v>
      </c>
      <c r="L77" t="s">
        <v>17</v>
      </c>
    </row>
    <row r="78" spans="1:12" x14ac:dyDescent="0.25">
      <c r="A78" t="s">
        <v>98</v>
      </c>
      <c r="B78" t="s">
        <v>13</v>
      </c>
      <c r="C78" t="s">
        <v>14</v>
      </c>
      <c r="D78">
        <v>0</v>
      </c>
      <c r="E78" t="s">
        <v>15</v>
      </c>
      <c r="F78" t="s">
        <v>16</v>
      </c>
      <c r="G78">
        <v>3189</v>
      </c>
      <c r="H78">
        <v>2367</v>
      </c>
      <c r="I78">
        <v>186</v>
      </c>
      <c r="J78">
        <v>360</v>
      </c>
      <c r="K78">
        <v>1</v>
      </c>
      <c r="L78" t="s">
        <v>17</v>
      </c>
    </row>
    <row r="79" spans="1:12" x14ac:dyDescent="0.25">
      <c r="A79" t="s">
        <v>99</v>
      </c>
      <c r="B79" t="s">
        <v>13</v>
      </c>
      <c r="C79" t="s">
        <v>16</v>
      </c>
      <c r="D79">
        <v>0</v>
      </c>
      <c r="E79" t="s">
        <v>15</v>
      </c>
      <c r="F79" t="s">
        <v>14</v>
      </c>
      <c r="G79">
        <v>6356</v>
      </c>
      <c r="H79">
        <v>0</v>
      </c>
      <c r="I79">
        <v>50</v>
      </c>
      <c r="J79">
        <v>360</v>
      </c>
      <c r="K79">
        <v>1</v>
      </c>
      <c r="L79" t="s">
        <v>28</v>
      </c>
    </row>
    <row r="80" spans="1:12" x14ac:dyDescent="0.25">
      <c r="A80" t="s">
        <v>100</v>
      </c>
      <c r="B80" t="s">
        <v>13</v>
      </c>
      <c r="C80" t="s">
        <v>14</v>
      </c>
      <c r="D80">
        <v>1</v>
      </c>
      <c r="E80" t="s">
        <v>15</v>
      </c>
      <c r="F80" t="s">
        <v>16</v>
      </c>
      <c r="G80">
        <v>3413</v>
      </c>
      <c r="H80">
        <v>4053</v>
      </c>
      <c r="J80">
        <v>360</v>
      </c>
      <c r="K80">
        <v>1</v>
      </c>
      <c r="L80" t="s">
        <v>26</v>
      </c>
    </row>
    <row r="81" spans="1:12" x14ac:dyDescent="0.25">
      <c r="A81" t="s">
        <v>101</v>
      </c>
      <c r="B81" t="s">
        <v>25</v>
      </c>
      <c r="C81" t="s">
        <v>14</v>
      </c>
      <c r="D81">
        <v>0</v>
      </c>
      <c r="E81" t="s">
        <v>15</v>
      </c>
      <c r="F81" t="s">
        <v>16</v>
      </c>
      <c r="G81">
        <v>7950</v>
      </c>
      <c r="H81">
        <v>0</v>
      </c>
      <c r="I81">
        <v>185</v>
      </c>
      <c r="J81">
        <v>360</v>
      </c>
      <c r="K81">
        <v>1</v>
      </c>
      <c r="L81" t="s">
        <v>17</v>
      </c>
    </row>
    <row r="82" spans="1:12" x14ac:dyDescent="0.25">
      <c r="A82" t="s">
        <v>102</v>
      </c>
      <c r="B82" t="s">
        <v>13</v>
      </c>
      <c r="C82" t="s">
        <v>14</v>
      </c>
      <c r="D82" t="s">
        <v>34</v>
      </c>
      <c r="E82" t="s">
        <v>15</v>
      </c>
      <c r="F82" t="s">
        <v>16</v>
      </c>
      <c r="G82">
        <v>3829</v>
      </c>
      <c r="H82">
        <v>1103</v>
      </c>
      <c r="I82">
        <v>163</v>
      </c>
      <c r="J82">
        <v>360</v>
      </c>
      <c r="K82">
        <v>0</v>
      </c>
      <c r="L82" t="s">
        <v>17</v>
      </c>
    </row>
    <row r="83" spans="1:12" x14ac:dyDescent="0.25">
      <c r="A83" t="s">
        <v>103</v>
      </c>
      <c r="B83" t="s">
        <v>13</v>
      </c>
      <c r="C83" t="s">
        <v>14</v>
      </c>
      <c r="D83" t="s">
        <v>34</v>
      </c>
      <c r="E83" t="s">
        <v>15</v>
      </c>
      <c r="F83" t="s">
        <v>16</v>
      </c>
      <c r="G83">
        <v>72529</v>
      </c>
      <c r="H83">
        <v>0</v>
      </c>
      <c r="I83">
        <v>360</v>
      </c>
      <c r="J83">
        <v>360</v>
      </c>
      <c r="K83">
        <v>1</v>
      </c>
      <c r="L83" t="s">
        <v>17</v>
      </c>
    </row>
    <row r="84" spans="1:12" x14ac:dyDescent="0.25">
      <c r="A84" t="s">
        <v>104</v>
      </c>
      <c r="B84" t="s">
        <v>13</v>
      </c>
      <c r="C84" t="s">
        <v>14</v>
      </c>
      <c r="D84">
        <v>2</v>
      </c>
      <c r="E84" t="s">
        <v>22</v>
      </c>
      <c r="F84" t="s">
        <v>16</v>
      </c>
      <c r="G84">
        <v>4136</v>
      </c>
      <c r="H84">
        <v>0</v>
      </c>
      <c r="I84">
        <v>149</v>
      </c>
      <c r="J84">
        <v>480</v>
      </c>
      <c r="K84">
        <v>0</v>
      </c>
      <c r="L84" t="s">
        <v>28</v>
      </c>
    </row>
    <row r="85" spans="1:12" x14ac:dyDescent="0.25">
      <c r="A85" t="s">
        <v>105</v>
      </c>
      <c r="B85" t="s">
        <v>13</v>
      </c>
      <c r="C85" t="s">
        <v>14</v>
      </c>
      <c r="D85">
        <v>0</v>
      </c>
      <c r="E85" t="s">
        <v>15</v>
      </c>
      <c r="F85" t="s">
        <v>16</v>
      </c>
      <c r="G85">
        <v>8449</v>
      </c>
      <c r="H85">
        <v>0</v>
      </c>
      <c r="I85">
        <v>257</v>
      </c>
      <c r="J85">
        <v>360</v>
      </c>
      <c r="K85">
        <v>1</v>
      </c>
      <c r="L85" t="s">
        <v>28</v>
      </c>
    </row>
    <row r="86" spans="1:12" x14ac:dyDescent="0.25">
      <c r="A86" t="s">
        <v>106</v>
      </c>
      <c r="B86" t="s">
        <v>13</v>
      </c>
      <c r="C86" t="s">
        <v>14</v>
      </c>
      <c r="D86">
        <v>0</v>
      </c>
      <c r="E86" t="s">
        <v>15</v>
      </c>
      <c r="F86" t="s">
        <v>16</v>
      </c>
      <c r="G86">
        <v>4456</v>
      </c>
      <c r="H86">
        <v>0</v>
      </c>
      <c r="I86">
        <v>131</v>
      </c>
      <c r="J86">
        <v>180</v>
      </c>
      <c r="K86">
        <v>0</v>
      </c>
      <c r="L86" t="s">
        <v>26</v>
      </c>
    </row>
    <row r="87" spans="1:12" x14ac:dyDescent="0.25">
      <c r="A87" t="s">
        <v>107</v>
      </c>
      <c r="B87" t="s">
        <v>13</v>
      </c>
      <c r="C87" t="s">
        <v>14</v>
      </c>
      <c r="D87">
        <v>2</v>
      </c>
      <c r="E87" t="s">
        <v>15</v>
      </c>
      <c r="F87" t="s">
        <v>16</v>
      </c>
      <c r="G87">
        <v>4635</v>
      </c>
      <c r="H87">
        <v>8000</v>
      </c>
      <c r="I87">
        <v>102</v>
      </c>
      <c r="J87">
        <v>180</v>
      </c>
      <c r="K87">
        <v>1</v>
      </c>
      <c r="L87" t="s">
        <v>28</v>
      </c>
    </row>
    <row r="88" spans="1:12" x14ac:dyDescent="0.25">
      <c r="A88" t="s">
        <v>108</v>
      </c>
      <c r="B88" t="s">
        <v>13</v>
      </c>
      <c r="C88" t="s">
        <v>14</v>
      </c>
      <c r="D88">
        <v>0</v>
      </c>
      <c r="E88" t="s">
        <v>15</v>
      </c>
      <c r="F88" t="s">
        <v>16</v>
      </c>
      <c r="G88">
        <v>3571</v>
      </c>
      <c r="H88">
        <v>1917</v>
      </c>
      <c r="I88">
        <v>135</v>
      </c>
      <c r="J88">
        <v>360</v>
      </c>
      <c r="K88">
        <v>1</v>
      </c>
      <c r="L88" t="s">
        <v>17</v>
      </c>
    </row>
    <row r="89" spans="1:12" x14ac:dyDescent="0.25">
      <c r="A89" t="s">
        <v>109</v>
      </c>
      <c r="B89" t="s">
        <v>13</v>
      </c>
      <c r="C89" t="s">
        <v>16</v>
      </c>
      <c r="D89">
        <v>0</v>
      </c>
      <c r="E89" t="s">
        <v>15</v>
      </c>
      <c r="F89" t="s">
        <v>16</v>
      </c>
      <c r="G89">
        <v>3066</v>
      </c>
      <c r="H89">
        <v>0</v>
      </c>
      <c r="I89">
        <v>95</v>
      </c>
      <c r="J89">
        <v>360</v>
      </c>
      <c r="K89">
        <v>1</v>
      </c>
      <c r="L89" t="s">
        <v>26</v>
      </c>
    </row>
    <row r="90" spans="1:12" x14ac:dyDescent="0.25">
      <c r="A90" t="s">
        <v>110</v>
      </c>
      <c r="B90" t="s">
        <v>13</v>
      </c>
      <c r="C90" t="s">
        <v>16</v>
      </c>
      <c r="D90">
        <v>2</v>
      </c>
      <c r="E90" t="s">
        <v>22</v>
      </c>
      <c r="F90" t="s">
        <v>16</v>
      </c>
      <c r="G90">
        <v>3235</v>
      </c>
      <c r="H90">
        <v>2015</v>
      </c>
      <c r="I90">
        <v>77</v>
      </c>
      <c r="J90">
        <v>360</v>
      </c>
      <c r="K90">
        <v>1</v>
      </c>
      <c r="L90" t="s">
        <v>26</v>
      </c>
    </row>
    <row r="91" spans="1:12" x14ac:dyDescent="0.25">
      <c r="A91" t="s">
        <v>111</v>
      </c>
      <c r="B91" t="s">
        <v>25</v>
      </c>
      <c r="C91" t="s">
        <v>16</v>
      </c>
      <c r="D91">
        <v>0</v>
      </c>
      <c r="E91" t="s">
        <v>15</v>
      </c>
      <c r="G91">
        <v>5058</v>
      </c>
      <c r="H91">
        <v>0</v>
      </c>
      <c r="I91">
        <v>200</v>
      </c>
      <c r="J91">
        <v>360</v>
      </c>
      <c r="K91">
        <v>1</v>
      </c>
      <c r="L91" t="s">
        <v>28</v>
      </c>
    </row>
    <row r="92" spans="1:12" x14ac:dyDescent="0.25">
      <c r="A92" t="s">
        <v>112</v>
      </c>
      <c r="B92" t="s">
        <v>13</v>
      </c>
      <c r="C92" t="s">
        <v>14</v>
      </c>
      <c r="D92">
        <v>0</v>
      </c>
      <c r="E92" t="s">
        <v>15</v>
      </c>
      <c r="F92" t="s">
        <v>14</v>
      </c>
      <c r="G92">
        <v>3188</v>
      </c>
      <c r="H92">
        <v>2286</v>
      </c>
      <c r="I92">
        <v>130</v>
      </c>
      <c r="J92">
        <v>360</v>
      </c>
      <c r="L92" t="s">
        <v>28</v>
      </c>
    </row>
    <row r="93" spans="1:12" x14ac:dyDescent="0.25">
      <c r="A93" t="s">
        <v>113</v>
      </c>
      <c r="B93" t="s">
        <v>13</v>
      </c>
      <c r="C93" t="s">
        <v>14</v>
      </c>
      <c r="D93" t="s">
        <v>34</v>
      </c>
      <c r="E93" t="s">
        <v>15</v>
      </c>
      <c r="F93" t="s">
        <v>16</v>
      </c>
      <c r="G93">
        <v>13518</v>
      </c>
      <c r="H93">
        <v>0</v>
      </c>
      <c r="I93">
        <v>390</v>
      </c>
      <c r="J93">
        <v>360</v>
      </c>
      <c r="K93">
        <v>1</v>
      </c>
      <c r="L93" t="s">
        <v>28</v>
      </c>
    </row>
    <row r="94" spans="1:12" x14ac:dyDescent="0.25">
      <c r="A94" t="s">
        <v>114</v>
      </c>
      <c r="B94" t="s">
        <v>13</v>
      </c>
      <c r="C94" t="s">
        <v>14</v>
      </c>
      <c r="D94">
        <v>1</v>
      </c>
      <c r="E94" t="s">
        <v>15</v>
      </c>
      <c r="F94" t="s">
        <v>16</v>
      </c>
      <c r="G94">
        <v>4364</v>
      </c>
      <c r="H94">
        <v>2500</v>
      </c>
      <c r="I94">
        <v>185</v>
      </c>
      <c r="J94">
        <v>360</v>
      </c>
      <c r="K94">
        <v>1</v>
      </c>
      <c r="L94" t="s">
        <v>26</v>
      </c>
    </row>
    <row r="95" spans="1:12" x14ac:dyDescent="0.25">
      <c r="A95" t="s">
        <v>115</v>
      </c>
      <c r="B95" t="s">
        <v>13</v>
      </c>
      <c r="C95" t="s">
        <v>14</v>
      </c>
      <c r="D95">
        <v>2</v>
      </c>
      <c r="E95" t="s">
        <v>22</v>
      </c>
      <c r="F95" t="s">
        <v>16</v>
      </c>
      <c r="G95">
        <v>4766</v>
      </c>
      <c r="H95">
        <v>1646</v>
      </c>
      <c r="I95">
        <v>100</v>
      </c>
      <c r="J95">
        <v>360</v>
      </c>
      <c r="K95">
        <v>1</v>
      </c>
      <c r="L95" t="s">
        <v>26</v>
      </c>
    </row>
    <row r="96" spans="1:12" x14ac:dyDescent="0.25">
      <c r="A96" t="s">
        <v>116</v>
      </c>
      <c r="B96" t="s">
        <v>13</v>
      </c>
      <c r="C96" t="s">
        <v>14</v>
      </c>
      <c r="D96">
        <v>1</v>
      </c>
      <c r="E96" t="s">
        <v>15</v>
      </c>
      <c r="F96" t="s">
        <v>16</v>
      </c>
      <c r="G96">
        <v>4609</v>
      </c>
      <c r="H96">
        <v>2333</v>
      </c>
      <c r="I96">
        <v>123</v>
      </c>
      <c r="J96">
        <v>360</v>
      </c>
      <c r="K96">
        <v>0</v>
      </c>
      <c r="L96" t="s">
        <v>26</v>
      </c>
    </row>
    <row r="97" spans="1:12" x14ac:dyDescent="0.25">
      <c r="A97" t="s">
        <v>117</v>
      </c>
      <c r="B97" t="s">
        <v>25</v>
      </c>
      <c r="C97" t="s">
        <v>14</v>
      </c>
      <c r="D97" t="s">
        <v>34</v>
      </c>
      <c r="E97" t="s">
        <v>15</v>
      </c>
      <c r="F97" t="s">
        <v>16</v>
      </c>
      <c r="G97">
        <v>6260</v>
      </c>
      <c r="H97">
        <v>0</v>
      </c>
      <c r="I97">
        <v>110</v>
      </c>
      <c r="J97">
        <v>360</v>
      </c>
      <c r="K97">
        <v>1</v>
      </c>
      <c r="L97" t="s">
        <v>26</v>
      </c>
    </row>
    <row r="98" spans="1:12" x14ac:dyDescent="0.25">
      <c r="A98" t="s">
        <v>118</v>
      </c>
      <c r="B98" t="s">
        <v>13</v>
      </c>
      <c r="C98" t="s">
        <v>14</v>
      </c>
      <c r="D98">
        <v>1</v>
      </c>
      <c r="E98" t="s">
        <v>15</v>
      </c>
      <c r="F98" t="s">
        <v>16</v>
      </c>
      <c r="G98">
        <v>3333</v>
      </c>
      <c r="H98">
        <v>4200</v>
      </c>
      <c r="I98">
        <v>256</v>
      </c>
      <c r="J98">
        <v>360</v>
      </c>
      <c r="K98">
        <v>1</v>
      </c>
      <c r="L98" t="s">
        <v>17</v>
      </c>
    </row>
    <row r="99" spans="1:12" x14ac:dyDescent="0.25">
      <c r="A99" t="s">
        <v>119</v>
      </c>
      <c r="B99" t="s">
        <v>13</v>
      </c>
      <c r="C99" t="s">
        <v>14</v>
      </c>
      <c r="D99">
        <v>0</v>
      </c>
      <c r="E99" t="s">
        <v>15</v>
      </c>
      <c r="F99" t="s">
        <v>16</v>
      </c>
      <c r="G99">
        <v>3500</v>
      </c>
      <c r="H99">
        <v>3250</v>
      </c>
      <c r="I99">
        <v>140</v>
      </c>
      <c r="J99">
        <v>360</v>
      </c>
      <c r="K99">
        <v>1</v>
      </c>
      <c r="L99" t="s">
        <v>26</v>
      </c>
    </row>
    <row r="100" spans="1:12" x14ac:dyDescent="0.25">
      <c r="A100" t="s">
        <v>120</v>
      </c>
      <c r="B100" t="s">
        <v>13</v>
      </c>
      <c r="C100" t="s">
        <v>14</v>
      </c>
      <c r="D100" t="s">
        <v>34</v>
      </c>
      <c r="E100" t="s">
        <v>15</v>
      </c>
      <c r="F100" t="s">
        <v>16</v>
      </c>
      <c r="G100">
        <v>9719</v>
      </c>
      <c r="H100">
        <v>0</v>
      </c>
      <c r="I100">
        <v>61</v>
      </c>
      <c r="J100">
        <v>360</v>
      </c>
      <c r="K100">
        <v>1</v>
      </c>
      <c r="L100" t="s">
        <v>17</v>
      </c>
    </row>
    <row r="101" spans="1:12" x14ac:dyDescent="0.25">
      <c r="A101" t="s">
        <v>121</v>
      </c>
      <c r="B101" t="s">
        <v>13</v>
      </c>
      <c r="C101" t="s">
        <v>14</v>
      </c>
      <c r="D101" t="s">
        <v>34</v>
      </c>
      <c r="E101" t="s">
        <v>15</v>
      </c>
      <c r="F101" t="s">
        <v>16</v>
      </c>
      <c r="G101">
        <v>6835</v>
      </c>
      <c r="H101">
        <v>0</v>
      </c>
      <c r="I101">
        <v>188</v>
      </c>
      <c r="J101">
        <v>360</v>
      </c>
      <c r="L101" t="s">
        <v>26</v>
      </c>
    </row>
    <row r="102" spans="1:12" x14ac:dyDescent="0.25">
      <c r="A102" t="s">
        <v>122</v>
      </c>
      <c r="B102" t="s">
        <v>13</v>
      </c>
      <c r="C102" t="s">
        <v>16</v>
      </c>
      <c r="D102">
        <v>0</v>
      </c>
      <c r="E102" t="s">
        <v>15</v>
      </c>
      <c r="F102" t="s">
        <v>16</v>
      </c>
      <c r="G102">
        <v>4452</v>
      </c>
      <c r="H102">
        <v>0</v>
      </c>
      <c r="I102">
        <v>131</v>
      </c>
      <c r="J102">
        <v>360</v>
      </c>
      <c r="K102">
        <v>1</v>
      </c>
      <c r="L102" t="s">
        <v>28</v>
      </c>
    </row>
    <row r="103" spans="1:12" x14ac:dyDescent="0.25">
      <c r="A103" t="s">
        <v>123</v>
      </c>
      <c r="B103" t="s">
        <v>25</v>
      </c>
      <c r="C103" t="s">
        <v>14</v>
      </c>
      <c r="D103">
        <v>0</v>
      </c>
      <c r="E103" t="s">
        <v>15</v>
      </c>
      <c r="F103" t="s">
        <v>16</v>
      </c>
      <c r="G103">
        <v>2262</v>
      </c>
      <c r="H103">
        <v>0</v>
      </c>
      <c r="J103">
        <v>480</v>
      </c>
      <c r="K103">
        <v>0</v>
      </c>
      <c r="L103" t="s">
        <v>26</v>
      </c>
    </row>
    <row r="104" spans="1:12" x14ac:dyDescent="0.25">
      <c r="A104" t="s">
        <v>124</v>
      </c>
      <c r="B104" t="s">
        <v>13</v>
      </c>
      <c r="C104" t="s">
        <v>14</v>
      </c>
      <c r="D104">
        <v>1</v>
      </c>
      <c r="E104" t="s">
        <v>15</v>
      </c>
      <c r="F104" t="s">
        <v>16</v>
      </c>
      <c r="G104">
        <v>3901</v>
      </c>
      <c r="H104">
        <v>0</v>
      </c>
      <c r="I104">
        <v>116</v>
      </c>
      <c r="J104">
        <v>360</v>
      </c>
      <c r="K104">
        <v>1</v>
      </c>
      <c r="L104" t="s">
        <v>17</v>
      </c>
    </row>
    <row r="105" spans="1:12" x14ac:dyDescent="0.25">
      <c r="A105" t="s">
        <v>125</v>
      </c>
      <c r="B105" t="s">
        <v>13</v>
      </c>
      <c r="C105" t="s">
        <v>14</v>
      </c>
      <c r="D105">
        <v>2</v>
      </c>
      <c r="E105" t="s">
        <v>22</v>
      </c>
      <c r="F105" t="s">
        <v>16</v>
      </c>
      <c r="G105">
        <v>2687</v>
      </c>
      <c r="H105">
        <v>0</v>
      </c>
      <c r="I105">
        <v>50</v>
      </c>
      <c r="J105">
        <v>180</v>
      </c>
      <c r="K105">
        <v>1</v>
      </c>
      <c r="L105" t="s">
        <v>28</v>
      </c>
    </row>
    <row r="106" spans="1:12" x14ac:dyDescent="0.25">
      <c r="A106" t="s">
        <v>126</v>
      </c>
      <c r="B106" t="s">
        <v>13</v>
      </c>
      <c r="C106" t="s">
        <v>16</v>
      </c>
      <c r="D106">
        <v>0</v>
      </c>
      <c r="E106" t="s">
        <v>15</v>
      </c>
      <c r="F106" t="s">
        <v>16</v>
      </c>
      <c r="G106">
        <v>2243</v>
      </c>
      <c r="H106">
        <v>2233</v>
      </c>
      <c r="I106">
        <v>107</v>
      </c>
      <c r="J106">
        <v>360</v>
      </c>
      <c r="L106" t="s">
        <v>26</v>
      </c>
    </row>
    <row r="107" spans="1:12" x14ac:dyDescent="0.25">
      <c r="A107" t="s">
        <v>127</v>
      </c>
      <c r="B107" t="s">
        <v>25</v>
      </c>
      <c r="C107" t="s">
        <v>14</v>
      </c>
      <c r="D107">
        <v>0</v>
      </c>
      <c r="E107" t="s">
        <v>15</v>
      </c>
      <c r="F107" t="s">
        <v>16</v>
      </c>
      <c r="G107">
        <v>3417</v>
      </c>
      <c r="H107">
        <v>1287</v>
      </c>
      <c r="I107">
        <v>200</v>
      </c>
      <c r="J107">
        <v>360</v>
      </c>
      <c r="K107">
        <v>1</v>
      </c>
      <c r="L107" t="s">
        <v>26</v>
      </c>
    </row>
    <row r="108" spans="1:12" x14ac:dyDescent="0.25">
      <c r="A108" t="s">
        <v>128</v>
      </c>
      <c r="C108" t="s">
        <v>16</v>
      </c>
      <c r="D108">
        <v>0</v>
      </c>
      <c r="E108" t="s">
        <v>15</v>
      </c>
      <c r="F108" t="s">
        <v>16</v>
      </c>
      <c r="G108">
        <v>1596</v>
      </c>
      <c r="H108">
        <v>1760</v>
      </c>
      <c r="I108">
        <v>119</v>
      </c>
      <c r="J108">
        <v>360</v>
      </c>
      <c r="K108">
        <v>0</v>
      </c>
      <c r="L108" t="s">
        <v>17</v>
      </c>
    </row>
    <row r="109" spans="1:12" x14ac:dyDescent="0.25">
      <c r="A109" t="s">
        <v>129</v>
      </c>
      <c r="B109" t="s">
        <v>13</v>
      </c>
      <c r="C109" t="s">
        <v>14</v>
      </c>
      <c r="D109" t="s">
        <v>34</v>
      </c>
      <c r="E109" t="s">
        <v>15</v>
      </c>
      <c r="F109" t="s">
        <v>16</v>
      </c>
      <c r="G109">
        <v>4513</v>
      </c>
      <c r="H109">
        <v>0</v>
      </c>
      <c r="I109">
        <v>120</v>
      </c>
      <c r="J109">
        <v>360</v>
      </c>
      <c r="K109">
        <v>1</v>
      </c>
      <c r="L109" t="s">
        <v>28</v>
      </c>
    </row>
    <row r="110" spans="1:12" x14ac:dyDescent="0.25">
      <c r="A110" t="s">
        <v>130</v>
      </c>
      <c r="B110" t="s">
        <v>13</v>
      </c>
      <c r="C110" t="s">
        <v>14</v>
      </c>
      <c r="D110">
        <v>0</v>
      </c>
      <c r="E110" t="s">
        <v>15</v>
      </c>
      <c r="F110" t="s">
        <v>16</v>
      </c>
      <c r="G110">
        <v>4500</v>
      </c>
      <c r="H110">
        <v>0</v>
      </c>
      <c r="I110">
        <v>140</v>
      </c>
      <c r="J110">
        <v>360</v>
      </c>
      <c r="K110">
        <v>1</v>
      </c>
      <c r="L110" t="s">
        <v>26</v>
      </c>
    </row>
    <row r="111" spans="1:12" x14ac:dyDescent="0.25">
      <c r="A111" t="s">
        <v>131</v>
      </c>
      <c r="B111" t="s">
        <v>13</v>
      </c>
      <c r="C111" t="s">
        <v>14</v>
      </c>
      <c r="D111">
        <v>0</v>
      </c>
      <c r="E111" t="s">
        <v>22</v>
      </c>
      <c r="F111" t="s">
        <v>16</v>
      </c>
      <c r="G111">
        <v>4523</v>
      </c>
      <c r="H111">
        <v>1350</v>
      </c>
      <c r="I111">
        <v>165</v>
      </c>
      <c r="J111">
        <v>360</v>
      </c>
      <c r="K111">
        <v>1</v>
      </c>
      <c r="L111" t="s">
        <v>17</v>
      </c>
    </row>
    <row r="112" spans="1:12" x14ac:dyDescent="0.25">
      <c r="A112" t="s">
        <v>132</v>
      </c>
      <c r="B112" t="s">
        <v>25</v>
      </c>
      <c r="C112" t="s">
        <v>16</v>
      </c>
      <c r="D112">
        <v>0</v>
      </c>
      <c r="E112" t="s">
        <v>15</v>
      </c>
      <c r="F112" t="s">
        <v>14</v>
      </c>
      <c r="G112">
        <v>4742</v>
      </c>
      <c r="H112">
        <v>0</v>
      </c>
      <c r="I112">
        <v>108</v>
      </c>
      <c r="J112">
        <v>360</v>
      </c>
      <c r="K112">
        <v>1</v>
      </c>
      <c r="L112" t="s">
        <v>26</v>
      </c>
    </row>
    <row r="113" spans="1:12" x14ac:dyDescent="0.25">
      <c r="A113" t="s">
        <v>133</v>
      </c>
      <c r="B113" t="s">
        <v>13</v>
      </c>
      <c r="C113" t="s">
        <v>14</v>
      </c>
      <c r="E113" t="s">
        <v>15</v>
      </c>
      <c r="F113" t="s">
        <v>16</v>
      </c>
      <c r="G113">
        <v>4082</v>
      </c>
      <c r="H113">
        <v>0</v>
      </c>
      <c r="I113">
        <v>93</v>
      </c>
      <c r="J113">
        <v>360</v>
      </c>
      <c r="K113">
        <v>1</v>
      </c>
      <c r="L113" t="s">
        <v>26</v>
      </c>
    </row>
    <row r="114" spans="1:12" x14ac:dyDescent="0.25">
      <c r="A114" t="s">
        <v>134</v>
      </c>
      <c r="B114" t="s">
        <v>25</v>
      </c>
      <c r="C114" t="s">
        <v>16</v>
      </c>
      <c r="D114">
        <v>0</v>
      </c>
      <c r="E114" t="s">
        <v>15</v>
      </c>
      <c r="F114" t="s">
        <v>16</v>
      </c>
      <c r="G114">
        <v>3417</v>
      </c>
      <c r="H114">
        <v>0</v>
      </c>
      <c r="I114">
        <v>102</v>
      </c>
      <c r="J114">
        <v>360</v>
      </c>
      <c r="K114">
        <v>1</v>
      </c>
      <c r="L114" t="s">
        <v>17</v>
      </c>
    </row>
    <row r="115" spans="1:12" x14ac:dyDescent="0.25">
      <c r="A115" t="s">
        <v>135</v>
      </c>
      <c r="B115" t="s">
        <v>25</v>
      </c>
      <c r="C115" t="s">
        <v>14</v>
      </c>
      <c r="D115">
        <v>2</v>
      </c>
      <c r="E115" t="s">
        <v>15</v>
      </c>
      <c r="F115" t="s">
        <v>16</v>
      </c>
      <c r="G115">
        <v>2922</v>
      </c>
      <c r="H115">
        <v>3396</v>
      </c>
      <c r="I115">
        <v>122</v>
      </c>
      <c r="J115">
        <v>360</v>
      </c>
      <c r="K115">
        <v>1</v>
      </c>
      <c r="L115" t="s">
        <v>26</v>
      </c>
    </row>
    <row r="116" spans="1:12" x14ac:dyDescent="0.25">
      <c r="A116" t="s">
        <v>136</v>
      </c>
      <c r="B116" t="s">
        <v>13</v>
      </c>
      <c r="C116" t="s">
        <v>14</v>
      </c>
      <c r="D116">
        <v>0</v>
      </c>
      <c r="E116" t="s">
        <v>15</v>
      </c>
      <c r="F116" t="s">
        <v>16</v>
      </c>
      <c r="G116">
        <v>4167</v>
      </c>
      <c r="H116">
        <v>4754</v>
      </c>
      <c r="I116">
        <v>160</v>
      </c>
      <c r="J116">
        <v>360</v>
      </c>
      <c r="K116">
        <v>1</v>
      </c>
      <c r="L116" t="s">
        <v>28</v>
      </c>
    </row>
    <row r="117" spans="1:12" x14ac:dyDescent="0.25">
      <c r="A117" t="s">
        <v>137</v>
      </c>
      <c r="B117" t="s">
        <v>13</v>
      </c>
      <c r="C117" t="s">
        <v>16</v>
      </c>
      <c r="D117" t="s">
        <v>34</v>
      </c>
      <c r="E117" t="s">
        <v>15</v>
      </c>
      <c r="F117" t="s">
        <v>16</v>
      </c>
      <c r="G117">
        <v>4243</v>
      </c>
      <c r="H117">
        <v>4123</v>
      </c>
      <c r="I117">
        <v>157</v>
      </c>
      <c r="J117">
        <v>360</v>
      </c>
      <c r="L117" t="s">
        <v>26</v>
      </c>
    </row>
    <row r="118" spans="1:12" x14ac:dyDescent="0.25">
      <c r="A118" t="s">
        <v>138</v>
      </c>
      <c r="B118" t="s">
        <v>25</v>
      </c>
      <c r="C118" t="s">
        <v>16</v>
      </c>
      <c r="D118">
        <v>0</v>
      </c>
      <c r="E118" t="s">
        <v>22</v>
      </c>
      <c r="F118" t="s">
        <v>16</v>
      </c>
      <c r="G118">
        <v>0</v>
      </c>
      <c r="H118">
        <v>1760</v>
      </c>
      <c r="I118">
        <v>180</v>
      </c>
      <c r="J118">
        <v>360</v>
      </c>
      <c r="K118">
        <v>1</v>
      </c>
      <c r="L118" t="s">
        <v>26</v>
      </c>
    </row>
    <row r="119" spans="1:12" x14ac:dyDescent="0.25">
      <c r="A119" t="s">
        <v>139</v>
      </c>
      <c r="B119" t="s">
        <v>13</v>
      </c>
      <c r="C119" t="s">
        <v>14</v>
      </c>
      <c r="D119">
        <v>1</v>
      </c>
      <c r="E119" t="s">
        <v>15</v>
      </c>
      <c r="F119" t="s">
        <v>16</v>
      </c>
      <c r="G119">
        <v>1516</v>
      </c>
      <c r="H119">
        <v>2900</v>
      </c>
      <c r="I119">
        <v>80</v>
      </c>
      <c r="K119">
        <v>0</v>
      </c>
      <c r="L119" t="s">
        <v>28</v>
      </c>
    </row>
    <row r="120" spans="1:12" x14ac:dyDescent="0.25">
      <c r="A120" t="s">
        <v>140</v>
      </c>
      <c r="B120" t="s">
        <v>25</v>
      </c>
      <c r="C120" t="s">
        <v>16</v>
      </c>
      <c r="D120">
        <v>0</v>
      </c>
      <c r="E120" t="s">
        <v>15</v>
      </c>
      <c r="F120" t="s">
        <v>16</v>
      </c>
      <c r="G120">
        <v>1762</v>
      </c>
      <c r="H120">
        <v>2666</v>
      </c>
      <c r="I120">
        <v>104</v>
      </c>
      <c r="J120">
        <v>360</v>
      </c>
      <c r="K120">
        <v>0</v>
      </c>
      <c r="L120" t="s">
        <v>17</v>
      </c>
    </row>
    <row r="121" spans="1:12" x14ac:dyDescent="0.25">
      <c r="A121" t="s">
        <v>141</v>
      </c>
      <c r="B121" t="s">
        <v>13</v>
      </c>
      <c r="C121" t="s">
        <v>14</v>
      </c>
      <c r="D121">
        <v>2</v>
      </c>
      <c r="E121" t="s">
        <v>15</v>
      </c>
      <c r="F121" t="s">
        <v>16</v>
      </c>
      <c r="G121">
        <v>724</v>
      </c>
      <c r="H121">
        <v>3510</v>
      </c>
      <c r="I121">
        <v>213</v>
      </c>
      <c r="J121">
        <v>360</v>
      </c>
      <c r="K121">
        <v>0</v>
      </c>
      <c r="L121" t="s">
        <v>28</v>
      </c>
    </row>
    <row r="122" spans="1:12" x14ac:dyDescent="0.25">
      <c r="A122" t="s">
        <v>142</v>
      </c>
      <c r="B122" t="s">
        <v>13</v>
      </c>
      <c r="C122" t="s">
        <v>16</v>
      </c>
      <c r="D122">
        <v>0</v>
      </c>
      <c r="E122" t="s">
        <v>15</v>
      </c>
      <c r="F122" t="s">
        <v>16</v>
      </c>
      <c r="G122">
        <v>3125</v>
      </c>
      <c r="H122">
        <v>0</v>
      </c>
      <c r="I122">
        <v>65</v>
      </c>
      <c r="J122">
        <v>360</v>
      </c>
      <c r="K122">
        <v>1</v>
      </c>
      <c r="L122" t="s">
        <v>17</v>
      </c>
    </row>
    <row r="123" spans="1:12" x14ac:dyDescent="0.25">
      <c r="A123" t="s">
        <v>143</v>
      </c>
      <c r="B123" t="s">
        <v>13</v>
      </c>
      <c r="C123" t="s">
        <v>14</v>
      </c>
      <c r="D123">
        <v>0</v>
      </c>
      <c r="E123" t="s">
        <v>15</v>
      </c>
      <c r="F123" t="s">
        <v>16</v>
      </c>
      <c r="G123">
        <v>2333</v>
      </c>
      <c r="H123">
        <v>3803</v>
      </c>
      <c r="I123">
        <v>146</v>
      </c>
      <c r="J123">
        <v>360</v>
      </c>
      <c r="K123">
        <v>1</v>
      </c>
      <c r="L123" t="s">
        <v>28</v>
      </c>
    </row>
    <row r="124" spans="1:12" x14ac:dyDescent="0.25">
      <c r="A124" t="s">
        <v>144</v>
      </c>
      <c r="B124" t="s">
        <v>13</v>
      </c>
      <c r="C124" t="s">
        <v>14</v>
      </c>
      <c r="D124" t="s">
        <v>34</v>
      </c>
      <c r="E124" t="s">
        <v>15</v>
      </c>
      <c r="F124" t="s">
        <v>16</v>
      </c>
      <c r="G124">
        <v>3350</v>
      </c>
      <c r="H124">
        <v>1560</v>
      </c>
      <c r="I124">
        <v>135</v>
      </c>
      <c r="J124">
        <v>360</v>
      </c>
      <c r="K124">
        <v>1</v>
      </c>
      <c r="L124" t="s">
        <v>17</v>
      </c>
    </row>
    <row r="125" spans="1:12" x14ac:dyDescent="0.25">
      <c r="A125" t="s">
        <v>145</v>
      </c>
      <c r="B125" t="s">
        <v>13</v>
      </c>
      <c r="C125" t="s">
        <v>16</v>
      </c>
      <c r="D125">
        <v>0</v>
      </c>
      <c r="E125" t="s">
        <v>15</v>
      </c>
      <c r="F125" t="s">
        <v>16</v>
      </c>
      <c r="G125">
        <v>2500</v>
      </c>
      <c r="H125">
        <v>6414</v>
      </c>
      <c r="I125">
        <v>187</v>
      </c>
      <c r="J125">
        <v>360</v>
      </c>
      <c r="K125">
        <v>0</v>
      </c>
      <c r="L125" t="s">
        <v>28</v>
      </c>
    </row>
    <row r="126" spans="1:12" x14ac:dyDescent="0.25">
      <c r="A126" t="s">
        <v>146</v>
      </c>
      <c r="B126" t="s">
        <v>25</v>
      </c>
      <c r="C126" t="s">
        <v>16</v>
      </c>
      <c r="D126">
        <v>0</v>
      </c>
      <c r="E126" t="s">
        <v>15</v>
      </c>
      <c r="F126" t="s">
        <v>16</v>
      </c>
      <c r="G126">
        <v>12500</v>
      </c>
      <c r="H126">
        <v>0</v>
      </c>
      <c r="I126">
        <v>300</v>
      </c>
      <c r="J126">
        <v>360</v>
      </c>
      <c r="K126">
        <v>0</v>
      </c>
      <c r="L126" t="s">
        <v>17</v>
      </c>
    </row>
    <row r="127" spans="1:12" x14ac:dyDescent="0.25">
      <c r="A127" t="s">
        <v>147</v>
      </c>
      <c r="B127" t="s">
        <v>13</v>
      </c>
      <c r="C127" t="s">
        <v>16</v>
      </c>
      <c r="D127">
        <v>0</v>
      </c>
      <c r="E127" t="s">
        <v>15</v>
      </c>
      <c r="F127" t="s">
        <v>16</v>
      </c>
      <c r="G127">
        <v>4667</v>
      </c>
      <c r="H127">
        <v>0</v>
      </c>
      <c r="I127">
        <v>120</v>
      </c>
      <c r="J127">
        <v>360</v>
      </c>
      <c r="K127">
        <v>1</v>
      </c>
      <c r="L127" t="s">
        <v>26</v>
      </c>
    </row>
    <row r="128" spans="1:12" x14ac:dyDescent="0.25">
      <c r="A128" t="s">
        <v>148</v>
      </c>
      <c r="B128" t="s">
        <v>13</v>
      </c>
      <c r="C128" t="s">
        <v>16</v>
      </c>
      <c r="D128">
        <v>0</v>
      </c>
      <c r="E128" t="s">
        <v>15</v>
      </c>
      <c r="F128" t="s">
        <v>16</v>
      </c>
      <c r="G128">
        <v>6500</v>
      </c>
      <c r="H128">
        <v>0</v>
      </c>
      <c r="I128">
        <v>71</v>
      </c>
      <c r="J128">
        <v>360</v>
      </c>
      <c r="K128">
        <v>0</v>
      </c>
      <c r="L128" t="s">
        <v>17</v>
      </c>
    </row>
    <row r="129" spans="1:12" x14ac:dyDescent="0.25">
      <c r="A129" t="s">
        <v>149</v>
      </c>
      <c r="B129" t="s">
        <v>13</v>
      </c>
      <c r="C129" t="s">
        <v>14</v>
      </c>
      <c r="D129">
        <v>2</v>
      </c>
      <c r="E129" t="s">
        <v>15</v>
      </c>
      <c r="F129" t="s">
        <v>16</v>
      </c>
      <c r="G129">
        <v>7500</v>
      </c>
      <c r="H129">
        <v>0</v>
      </c>
      <c r="I129">
        <v>225</v>
      </c>
      <c r="J129">
        <v>360</v>
      </c>
      <c r="K129">
        <v>1</v>
      </c>
      <c r="L129" t="s">
        <v>17</v>
      </c>
    </row>
    <row r="130" spans="1:12" x14ac:dyDescent="0.25">
      <c r="A130" t="s">
        <v>150</v>
      </c>
      <c r="B130" t="s">
        <v>13</v>
      </c>
      <c r="C130" t="s">
        <v>16</v>
      </c>
      <c r="D130">
        <v>0</v>
      </c>
      <c r="E130" t="s">
        <v>15</v>
      </c>
      <c r="F130" t="s">
        <v>16</v>
      </c>
      <c r="G130">
        <v>3073</v>
      </c>
      <c r="H130">
        <v>0</v>
      </c>
      <c r="I130">
        <v>70</v>
      </c>
      <c r="J130">
        <v>180</v>
      </c>
      <c r="K130">
        <v>1</v>
      </c>
      <c r="L130" t="s">
        <v>17</v>
      </c>
    </row>
    <row r="131" spans="1:12" x14ac:dyDescent="0.25">
      <c r="A131" t="s">
        <v>151</v>
      </c>
      <c r="B131" t="s">
        <v>13</v>
      </c>
      <c r="C131" t="s">
        <v>14</v>
      </c>
      <c r="D131">
        <v>1</v>
      </c>
      <c r="E131" t="s">
        <v>22</v>
      </c>
      <c r="F131" t="s">
        <v>16</v>
      </c>
      <c r="G131">
        <v>3321</v>
      </c>
      <c r="H131">
        <v>2088</v>
      </c>
      <c r="I131">
        <v>70</v>
      </c>
      <c r="K131">
        <v>1</v>
      </c>
      <c r="L131" t="s">
        <v>26</v>
      </c>
    </row>
    <row r="132" spans="1:12" x14ac:dyDescent="0.25">
      <c r="A132" t="s">
        <v>152</v>
      </c>
      <c r="B132" t="s">
        <v>13</v>
      </c>
      <c r="C132" t="s">
        <v>14</v>
      </c>
      <c r="D132">
        <v>0</v>
      </c>
      <c r="E132" t="s">
        <v>15</v>
      </c>
      <c r="F132" t="s">
        <v>16</v>
      </c>
      <c r="G132">
        <v>3333</v>
      </c>
      <c r="H132">
        <v>1270</v>
      </c>
      <c r="I132">
        <v>124</v>
      </c>
      <c r="J132">
        <v>360</v>
      </c>
      <c r="K132">
        <v>1</v>
      </c>
      <c r="L132" t="s">
        <v>17</v>
      </c>
    </row>
    <row r="133" spans="1:12" x14ac:dyDescent="0.25">
      <c r="A133" t="s">
        <v>153</v>
      </c>
      <c r="B133" t="s">
        <v>13</v>
      </c>
      <c r="C133" t="s">
        <v>16</v>
      </c>
      <c r="D133">
        <v>0</v>
      </c>
      <c r="E133" t="s">
        <v>15</v>
      </c>
      <c r="F133" t="s">
        <v>16</v>
      </c>
      <c r="G133">
        <v>3391</v>
      </c>
      <c r="H133">
        <v>0</v>
      </c>
      <c r="I133">
        <v>132</v>
      </c>
      <c r="J133">
        <v>360</v>
      </c>
      <c r="K133">
        <v>1</v>
      </c>
      <c r="L133" t="s">
        <v>28</v>
      </c>
    </row>
    <row r="134" spans="1:12" x14ac:dyDescent="0.25">
      <c r="A134" t="s">
        <v>154</v>
      </c>
      <c r="B134" t="s">
        <v>13</v>
      </c>
      <c r="C134" t="s">
        <v>14</v>
      </c>
      <c r="D134">
        <v>1</v>
      </c>
      <c r="E134" t="s">
        <v>15</v>
      </c>
      <c r="F134" t="s">
        <v>14</v>
      </c>
      <c r="G134">
        <v>3343</v>
      </c>
      <c r="H134">
        <v>1517</v>
      </c>
      <c r="I134">
        <v>105</v>
      </c>
      <c r="J134">
        <v>360</v>
      </c>
      <c r="K134">
        <v>1</v>
      </c>
      <c r="L134" t="s">
        <v>28</v>
      </c>
    </row>
    <row r="135" spans="1:12" x14ac:dyDescent="0.25">
      <c r="A135" t="s">
        <v>155</v>
      </c>
      <c r="B135" t="s">
        <v>25</v>
      </c>
      <c r="C135" t="s">
        <v>16</v>
      </c>
      <c r="D135">
        <v>1</v>
      </c>
      <c r="E135" t="s">
        <v>15</v>
      </c>
      <c r="F135" t="s">
        <v>16</v>
      </c>
      <c r="G135">
        <v>3620</v>
      </c>
      <c r="H135">
        <v>0</v>
      </c>
      <c r="I135">
        <v>90</v>
      </c>
      <c r="J135">
        <v>360</v>
      </c>
      <c r="K135">
        <v>1</v>
      </c>
      <c r="L135" t="s">
        <v>17</v>
      </c>
    </row>
    <row r="136" spans="1:12" x14ac:dyDescent="0.25">
      <c r="A136" t="s">
        <v>156</v>
      </c>
      <c r="B136" t="s">
        <v>13</v>
      </c>
      <c r="C136" t="s">
        <v>16</v>
      </c>
      <c r="D136">
        <v>0</v>
      </c>
      <c r="E136" t="s">
        <v>15</v>
      </c>
      <c r="F136" t="s">
        <v>16</v>
      </c>
      <c r="G136">
        <v>4000</v>
      </c>
      <c r="H136">
        <v>0</v>
      </c>
      <c r="I136">
        <v>83</v>
      </c>
      <c r="J136">
        <v>84</v>
      </c>
      <c r="K136">
        <v>1</v>
      </c>
      <c r="L136" t="s">
        <v>17</v>
      </c>
    </row>
    <row r="137" spans="1:12" x14ac:dyDescent="0.25">
      <c r="A137" t="s">
        <v>157</v>
      </c>
      <c r="B137" t="s">
        <v>13</v>
      </c>
      <c r="C137" t="s">
        <v>14</v>
      </c>
      <c r="D137">
        <v>0</v>
      </c>
      <c r="E137" t="s">
        <v>15</v>
      </c>
      <c r="F137" t="s">
        <v>16</v>
      </c>
      <c r="G137">
        <v>4258</v>
      </c>
      <c r="H137">
        <v>0</v>
      </c>
      <c r="I137">
        <v>125</v>
      </c>
      <c r="J137">
        <v>360</v>
      </c>
      <c r="K137">
        <v>1</v>
      </c>
      <c r="L137" t="s">
        <v>17</v>
      </c>
    </row>
    <row r="138" spans="1:12" x14ac:dyDescent="0.25">
      <c r="A138" t="s">
        <v>158</v>
      </c>
      <c r="B138" t="s">
        <v>13</v>
      </c>
      <c r="C138" t="s">
        <v>14</v>
      </c>
      <c r="D138">
        <v>2</v>
      </c>
      <c r="E138" t="s">
        <v>15</v>
      </c>
      <c r="F138" t="s">
        <v>16</v>
      </c>
      <c r="G138">
        <v>4500</v>
      </c>
      <c r="H138">
        <v>0</v>
      </c>
      <c r="I138">
        <v>147</v>
      </c>
      <c r="J138">
        <v>360</v>
      </c>
      <c r="K138">
        <v>1</v>
      </c>
      <c r="L138" t="s">
        <v>28</v>
      </c>
    </row>
    <row r="139" spans="1:12" x14ac:dyDescent="0.25">
      <c r="A139" t="s">
        <v>159</v>
      </c>
      <c r="B139" t="s">
        <v>13</v>
      </c>
      <c r="C139" t="s">
        <v>14</v>
      </c>
      <c r="D139">
        <v>1</v>
      </c>
      <c r="E139" t="s">
        <v>15</v>
      </c>
      <c r="F139" t="s">
        <v>16</v>
      </c>
      <c r="G139">
        <v>2014</v>
      </c>
      <c r="H139">
        <v>2925</v>
      </c>
      <c r="I139">
        <v>120</v>
      </c>
      <c r="J139">
        <v>360</v>
      </c>
      <c r="K139">
        <v>1</v>
      </c>
      <c r="L139" t="s">
        <v>28</v>
      </c>
    </row>
    <row r="140" spans="1:12" x14ac:dyDescent="0.25">
      <c r="A140" t="s">
        <v>160</v>
      </c>
      <c r="C140" t="s">
        <v>16</v>
      </c>
      <c r="E140" t="s">
        <v>15</v>
      </c>
      <c r="F140" t="s">
        <v>16</v>
      </c>
      <c r="G140">
        <v>3333</v>
      </c>
      <c r="H140">
        <v>1250</v>
      </c>
      <c r="I140">
        <v>110</v>
      </c>
      <c r="J140">
        <v>360</v>
      </c>
      <c r="K140">
        <v>1</v>
      </c>
      <c r="L140" t="s">
        <v>26</v>
      </c>
    </row>
    <row r="141" spans="1:12" x14ac:dyDescent="0.25">
      <c r="A141" t="s">
        <v>161</v>
      </c>
      <c r="B141" t="s">
        <v>25</v>
      </c>
      <c r="C141" t="s">
        <v>16</v>
      </c>
      <c r="D141" t="s">
        <v>34</v>
      </c>
      <c r="E141" t="s">
        <v>15</v>
      </c>
      <c r="F141" t="s">
        <v>16</v>
      </c>
      <c r="G141">
        <v>4083</v>
      </c>
      <c r="H141">
        <v>0</v>
      </c>
      <c r="I141">
        <v>103</v>
      </c>
      <c r="J141">
        <v>360</v>
      </c>
      <c r="L141" t="s">
        <v>26</v>
      </c>
    </row>
    <row r="142" spans="1:12" x14ac:dyDescent="0.25">
      <c r="A142" t="s">
        <v>162</v>
      </c>
      <c r="B142" t="s">
        <v>13</v>
      </c>
      <c r="C142" t="s">
        <v>16</v>
      </c>
      <c r="D142">
        <v>0</v>
      </c>
      <c r="E142" t="s">
        <v>15</v>
      </c>
      <c r="F142" t="s">
        <v>16</v>
      </c>
      <c r="G142">
        <v>4727</v>
      </c>
      <c r="H142">
        <v>0</v>
      </c>
      <c r="I142">
        <v>150</v>
      </c>
      <c r="J142">
        <v>360</v>
      </c>
      <c r="K142">
        <v>0</v>
      </c>
      <c r="L142" t="s">
        <v>28</v>
      </c>
    </row>
    <row r="143" spans="1:12" x14ac:dyDescent="0.25">
      <c r="A143" t="s">
        <v>163</v>
      </c>
      <c r="B143" t="s">
        <v>13</v>
      </c>
      <c r="C143" t="s">
        <v>14</v>
      </c>
      <c r="D143" t="s">
        <v>34</v>
      </c>
      <c r="E143" t="s">
        <v>15</v>
      </c>
      <c r="F143" t="s">
        <v>16</v>
      </c>
      <c r="G143">
        <v>3089</v>
      </c>
      <c r="H143">
        <v>2999</v>
      </c>
      <c r="I143">
        <v>100</v>
      </c>
      <c r="J143">
        <v>240</v>
      </c>
      <c r="K143">
        <v>1</v>
      </c>
      <c r="L143" t="s">
        <v>28</v>
      </c>
    </row>
    <row r="144" spans="1:12" x14ac:dyDescent="0.25">
      <c r="A144" t="s">
        <v>164</v>
      </c>
      <c r="B144" t="s">
        <v>13</v>
      </c>
      <c r="C144" t="s">
        <v>14</v>
      </c>
      <c r="D144" t="s">
        <v>34</v>
      </c>
      <c r="E144" t="s">
        <v>22</v>
      </c>
      <c r="G144">
        <v>6794</v>
      </c>
      <c r="H144">
        <v>528</v>
      </c>
      <c r="I144">
        <v>139</v>
      </c>
      <c r="J144">
        <v>360</v>
      </c>
      <c r="K144">
        <v>0</v>
      </c>
      <c r="L144" t="s">
        <v>17</v>
      </c>
    </row>
    <row r="145" spans="1:12" x14ac:dyDescent="0.25">
      <c r="A145" t="s">
        <v>165</v>
      </c>
      <c r="B145" t="s">
        <v>13</v>
      </c>
      <c r="C145" t="s">
        <v>14</v>
      </c>
      <c r="D145">
        <v>0</v>
      </c>
      <c r="E145" t="s">
        <v>15</v>
      </c>
      <c r="F145" t="s">
        <v>14</v>
      </c>
      <c r="G145">
        <v>32000</v>
      </c>
      <c r="H145">
        <v>0</v>
      </c>
      <c r="I145">
        <v>550</v>
      </c>
      <c r="J145">
        <v>360</v>
      </c>
      <c r="L145" t="s">
        <v>26</v>
      </c>
    </row>
    <row r="146" spans="1:12" x14ac:dyDescent="0.25">
      <c r="A146" t="s">
        <v>166</v>
      </c>
      <c r="B146" t="s">
        <v>13</v>
      </c>
      <c r="C146" t="s">
        <v>14</v>
      </c>
      <c r="D146">
        <v>2</v>
      </c>
      <c r="E146" t="s">
        <v>15</v>
      </c>
      <c r="F146" t="s">
        <v>14</v>
      </c>
      <c r="G146">
        <v>10890</v>
      </c>
      <c r="H146">
        <v>0</v>
      </c>
      <c r="I146">
        <v>260</v>
      </c>
      <c r="J146">
        <v>12</v>
      </c>
      <c r="K146">
        <v>1</v>
      </c>
      <c r="L146" t="s">
        <v>28</v>
      </c>
    </row>
    <row r="147" spans="1:12" x14ac:dyDescent="0.25">
      <c r="A147" t="s">
        <v>167</v>
      </c>
      <c r="B147" t="s">
        <v>25</v>
      </c>
      <c r="C147" t="s">
        <v>16</v>
      </c>
      <c r="D147">
        <v>0</v>
      </c>
      <c r="E147" t="s">
        <v>15</v>
      </c>
      <c r="F147" t="s">
        <v>16</v>
      </c>
      <c r="G147">
        <v>12941</v>
      </c>
      <c r="H147">
        <v>0</v>
      </c>
      <c r="I147">
        <v>150</v>
      </c>
      <c r="J147">
        <v>300</v>
      </c>
      <c r="K147">
        <v>1</v>
      </c>
      <c r="L147" t="s">
        <v>17</v>
      </c>
    </row>
    <row r="148" spans="1:12" x14ac:dyDescent="0.25">
      <c r="A148" t="s">
        <v>168</v>
      </c>
      <c r="B148" t="s">
        <v>13</v>
      </c>
      <c r="C148" t="s">
        <v>16</v>
      </c>
      <c r="D148">
        <v>0</v>
      </c>
      <c r="E148" t="s">
        <v>22</v>
      </c>
      <c r="F148" t="s">
        <v>16</v>
      </c>
      <c r="G148">
        <v>3276</v>
      </c>
      <c r="H148">
        <v>0</v>
      </c>
      <c r="I148">
        <v>90</v>
      </c>
      <c r="J148">
        <v>360</v>
      </c>
      <c r="K148">
        <v>1</v>
      </c>
      <c r="L148" t="s">
        <v>26</v>
      </c>
    </row>
    <row r="149" spans="1:12" x14ac:dyDescent="0.25">
      <c r="A149" t="s">
        <v>169</v>
      </c>
      <c r="B149" t="s">
        <v>13</v>
      </c>
      <c r="C149" t="s">
        <v>16</v>
      </c>
      <c r="D149">
        <v>0</v>
      </c>
      <c r="E149" t="s">
        <v>22</v>
      </c>
      <c r="F149" t="s">
        <v>14</v>
      </c>
      <c r="G149">
        <v>8703</v>
      </c>
      <c r="H149">
        <v>0</v>
      </c>
      <c r="I149">
        <v>199</v>
      </c>
      <c r="J149">
        <v>360</v>
      </c>
      <c r="K149">
        <v>0</v>
      </c>
      <c r="L149" t="s">
        <v>28</v>
      </c>
    </row>
    <row r="150" spans="1:12" x14ac:dyDescent="0.25">
      <c r="A150" t="s">
        <v>170</v>
      </c>
      <c r="B150" t="s">
        <v>13</v>
      </c>
      <c r="C150" t="s">
        <v>14</v>
      </c>
      <c r="D150">
        <v>1</v>
      </c>
      <c r="E150" t="s">
        <v>15</v>
      </c>
      <c r="F150" t="s">
        <v>16</v>
      </c>
      <c r="G150">
        <v>4742</v>
      </c>
      <c r="H150">
        <v>717</v>
      </c>
      <c r="I150">
        <v>139</v>
      </c>
      <c r="J150">
        <v>360</v>
      </c>
      <c r="K150">
        <v>1</v>
      </c>
      <c r="L150" t="s">
        <v>26</v>
      </c>
    </row>
    <row r="151" spans="1:12" x14ac:dyDescent="0.25">
      <c r="A151" t="s">
        <v>171</v>
      </c>
      <c r="B151" t="s">
        <v>13</v>
      </c>
      <c r="C151" t="s">
        <v>16</v>
      </c>
      <c r="D151">
        <v>0</v>
      </c>
      <c r="E151" t="s">
        <v>15</v>
      </c>
      <c r="F151" t="s">
        <v>16</v>
      </c>
      <c r="G151">
        <v>5900</v>
      </c>
      <c r="H151">
        <v>0</v>
      </c>
      <c r="I151">
        <v>150</v>
      </c>
      <c r="J151">
        <v>360</v>
      </c>
      <c r="K151">
        <v>1</v>
      </c>
      <c r="L151" t="s">
        <v>17</v>
      </c>
    </row>
    <row r="152" spans="1:12" x14ac:dyDescent="0.25">
      <c r="A152" t="s">
        <v>172</v>
      </c>
      <c r="B152" t="s">
        <v>13</v>
      </c>
      <c r="C152" t="s">
        <v>16</v>
      </c>
      <c r="D152">
        <v>0</v>
      </c>
      <c r="E152" t="s">
        <v>15</v>
      </c>
      <c r="F152" t="s">
        <v>16</v>
      </c>
      <c r="G152">
        <v>3071</v>
      </c>
      <c r="H152">
        <v>4309</v>
      </c>
      <c r="I152">
        <v>180</v>
      </c>
      <c r="J152">
        <v>360</v>
      </c>
      <c r="K152">
        <v>1</v>
      </c>
      <c r="L152" t="s">
        <v>17</v>
      </c>
    </row>
    <row r="153" spans="1:12" x14ac:dyDescent="0.25">
      <c r="A153" t="s">
        <v>173</v>
      </c>
      <c r="B153" t="s">
        <v>13</v>
      </c>
      <c r="C153" t="s">
        <v>14</v>
      </c>
      <c r="D153">
        <v>0</v>
      </c>
      <c r="E153" t="s">
        <v>15</v>
      </c>
      <c r="F153" t="s">
        <v>16</v>
      </c>
      <c r="G153">
        <v>2783</v>
      </c>
      <c r="H153">
        <v>1456</v>
      </c>
      <c r="I153">
        <v>113</v>
      </c>
      <c r="J153">
        <v>360</v>
      </c>
      <c r="K153">
        <v>1</v>
      </c>
      <c r="L153" t="s">
        <v>17</v>
      </c>
    </row>
    <row r="154" spans="1:12" x14ac:dyDescent="0.25">
      <c r="A154" t="s">
        <v>174</v>
      </c>
      <c r="B154" t="s">
        <v>13</v>
      </c>
      <c r="C154" t="s">
        <v>16</v>
      </c>
      <c r="D154">
        <v>0</v>
      </c>
      <c r="E154" t="s">
        <v>15</v>
      </c>
      <c r="F154" t="s">
        <v>16</v>
      </c>
      <c r="G154">
        <v>5000</v>
      </c>
      <c r="H154">
        <v>0</v>
      </c>
      <c r="I154">
        <v>148</v>
      </c>
      <c r="J154">
        <v>360</v>
      </c>
      <c r="K154">
        <v>1</v>
      </c>
      <c r="L154" t="s">
        <v>28</v>
      </c>
    </row>
    <row r="155" spans="1:12" x14ac:dyDescent="0.25">
      <c r="A155" t="s">
        <v>175</v>
      </c>
      <c r="B155" t="s">
        <v>13</v>
      </c>
      <c r="C155" t="s">
        <v>14</v>
      </c>
      <c r="D155">
        <v>1</v>
      </c>
      <c r="E155" t="s">
        <v>22</v>
      </c>
      <c r="F155" t="s">
        <v>16</v>
      </c>
      <c r="G155">
        <v>2463</v>
      </c>
      <c r="H155">
        <v>2360</v>
      </c>
      <c r="I155">
        <v>117</v>
      </c>
      <c r="J155">
        <v>360</v>
      </c>
      <c r="K155">
        <v>0</v>
      </c>
      <c r="L155" t="s">
        <v>17</v>
      </c>
    </row>
    <row r="156" spans="1:12" x14ac:dyDescent="0.25">
      <c r="A156" t="s">
        <v>176</v>
      </c>
      <c r="B156" t="s">
        <v>13</v>
      </c>
      <c r="C156" t="s">
        <v>14</v>
      </c>
      <c r="D156">
        <v>2</v>
      </c>
      <c r="E156" t="s">
        <v>15</v>
      </c>
      <c r="F156" t="s">
        <v>16</v>
      </c>
      <c r="G156">
        <v>4855</v>
      </c>
      <c r="H156">
        <v>0</v>
      </c>
      <c r="I156">
        <v>72</v>
      </c>
      <c r="J156">
        <v>360</v>
      </c>
      <c r="K156">
        <v>1</v>
      </c>
      <c r="L156" t="s">
        <v>28</v>
      </c>
    </row>
    <row r="157" spans="1:12" x14ac:dyDescent="0.25">
      <c r="A157" t="s">
        <v>177</v>
      </c>
      <c r="B157" t="s">
        <v>13</v>
      </c>
      <c r="C157" t="s">
        <v>16</v>
      </c>
      <c r="D157">
        <v>0</v>
      </c>
      <c r="E157" t="s">
        <v>22</v>
      </c>
      <c r="F157" t="s">
        <v>14</v>
      </c>
      <c r="G157">
        <v>1599</v>
      </c>
      <c r="H157">
        <v>2474</v>
      </c>
      <c r="I157">
        <v>125</v>
      </c>
      <c r="J157">
        <v>300</v>
      </c>
      <c r="K157">
        <v>1</v>
      </c>
      <c r="L157" t="s">
        <v>26</v>
      </c>
    </row>
    <row r="158" spans="1:12" x14ac:dyDescent="0.25">
      <c r="A158" t="s">
        <v>178</v>
      </c>
      <c r="B158" t="s">
        <v>13</v>
      </c>
      <c r="C158" t="s">
        <v>14</v>
      </c>
      <c r="D158">
        <v>2</v>
      </c>
      <c r="E158" t="s">
        <v>15</v>
      </c>
      <c r="F158" t="s">
        <v>14</v>
      </c>
      <c r="G158">
        <v>4246</v>
      </c>
      <c r="H158">
        <v>4246</v>
      </c>
      <c r="I158">
        <v>214</v>
      </c>
      <c r="J158">
        <v>360</v>
      </c>
      <c r="K158">
        <v>1</v>
      </c>
      <c r="L158" t="s">
        <v>17</v>
      </c>
    </row>
    <row r="159" spans="1:12" x14ac:dyDescent="0.25">
      <c r="A159" t="s">
        <v>179</v>
      </c>
      <c r="B159" t="s">
        <v>13</v>
      </c>
      <c r="C159" t="s">
        <v>14</v>
      </c>
      <c r="D159">
        <v>0</v>
      </c>
      <c r="E159" t="s">
        <v>15</v>
      </c>
      <c r="F159" t="s">
        <v>16</v>
      </c>
      <c r="G159">
        <v>4333</v>
      </c>
      <c r="H159">
        <v>2291</v>
      </c>
      <c r="I159">
        <v>133</v>
      </c>
      <c r="J159">
        <v>350</v>
      </c>
      <c r="K159">
        <v>1</v>
      </c>
      <c r="L159" t="s">
        <v>28</v>
      </c>
    </row>
    <row r="160" spans="1:12" x14ac:dyDescent="0.25">
      <c r="A160" t="s">
        <v>180</v>
      </c>
      <c r="B160" t="s">
        <v>13</v>
      </c>
      <c r="C160" t="s">
        <v>16</v>
      </c>
      <c r="D160">
        <v>1</v>
      </c>
      <c r="E160" t="s">
        <v>15</v>
      </c>
      <c r="F160" t="s">
        <v>16</v>
      </c>
      <c r="G160">
        <v>5823</v>
      </c>
      <c r="H160">
        <v>2529</v>
      </c>
      <c r="I160">
        <v>187</v>
      </c>
      <c r="J160">
        <v>360</v>
      </c>
      <c r="K160">
        <v>1</v>
      </c>
      <c r="L160" t="s">
        <v>26</v>
      </c>
    </row>
    <row r="161" spans="1:12" x14ac:dyDescent="0.25">
      <c r="A161" t="s">
        <v>181</v>
      </c>
      <c r="B161" t="s">
        <v>13</v>
      </c>
      <c r="C161" t="s">
        <v>14</v>
      </c>
      <c r="D161">
        <v>0</v>
      </c>
      <c r="E161" t="s">
        <v>22</v>
      </c>
      <c r="F161" t="s">
        <v>16</v>
      </c>
      <c r="G161">
        <v>7895</v>
      </c>
      <c r="H161">
        <v>0</v>
      </c>
      <c r="I161">
        <v>143</v>
      </c>
      <c r="J161">
        <v>360</v>
      </c>
      <c r="K161">
        <v>1</v>
      </c>
      <c r="L161" t="s">
        <v>28</v>
      </c>
    </row>
    <row r="162" spans="1:12" x14ac:dyDescent="0.25">
      <c r="A162" t="s">
        <v>182</v>
      </c>
      <c r="B162" t="s">
        <v>13</v>
      </c>
      <c r="C162" t="s">
        <v>16</v>
      </c>
      <c r="D162">
        <v>0</v>
      </c>
      <c r="E162" t="s">
        <v>15</v>
      </c>
      <c r="F162" t="s">
        <v>16</v>
      </c>
      <c r="G162">
        <v>4150</v>
      </c>
      <c r="H162">
        <v>4256</v>
      </c>
      <c r="I162">
        <v>209</v>
      </c>
      <c r="J162">
        <v>360</v>
      </c>
      <c r="K162">
        <v>1</v>
      </c>
      <c r="L162" t="s">
        <v>28</v>
      </c>
    </row>
    <row r="163" spans="1:12" x14ac:dyDescent="0.25">
      <c r="A163" t="s">
        <v>183</v>
      </c>
      <c r="B163" t="s">
        <v>13</v>
      </c>
      <c r="C163" t="s">
        <v>16</v>
      </c>
      <c r="D163">
        <v>0</v>
      </c>
      <c r="E163" t="s">
        <v>15</v>
      </c>
      <c r="G163">
        <v>2964</v>
      </c>
      <c r="H163">
        <v>0</v>
      </c>
      <c r="I163">
        <v>84</v>
      </c>
      <c r="J163">
        <v>360</v>
      </c>
      <c r="K163">
        <v>0</v>
      </c>
      <c r="L163" t="s">
        <v>26</v>
      </c>
    </row>
    <row r="164" spans="1:12" x14ac:dyDescent="0.25">
      <c r="A164" t="s">
        <v>184</v>
      </c>
      <c r="B164" t="s">
        <v>13</v>
      </c>
      <c r="C164" t="s">
        <v>16</v>
      </c>
      <c r="D164">
        <v>0</v>
      </c>
      <c r="E164" t="s">
        <v>15</v>
      </c>
      <c r="F164" t="s">
        <v>16</v>
      </c>
      <c r="G164">
        <v>5583</v>
      </c>
      <c r="H164">
        <v>0</v>
      </c>
      <c r="I164">
        <v>116</v>
      </c>
      <c r="J164">
        <v>360</v>
      </c>
      <c r="K164">
        <v>1</v>
      </c>
      <c r="L164" t="s">
        <v>17</v>
      </c>
    </row>
    <row r="165" spans="1:12" x14ac:dyDescent="0.25">
      <c r="A165" t="s">
        <v>185</v>
      </c>
      <c r="B165" t="s">
        <v>25</v>
      </c>
      <c r="C165" t="s">
        <v>16</v>
      </c>
      <c r="D165">
        <v>0</v>
      </c>
      <c r="E165" t="s">
        <v>15</v>
      </c>
      <c r="F165" t="s">
        <v>16</v>
      </c>
      <c r="G165">
        <v>2708</v>
      </c>
      <c r="H165">
        <v>0</v>
      </c>
      <c r="I165">
        <v>65</v>
      </c>
      <c r="J165">
        <v>360</v>
      </c>
      <c r="K165">
        <v>1</v>
      </c>
      <c r="L165" t="s">
        <v>28</v>
      </c>
    </row>
    <row r="166" spans="1:12" x14ac:dyDescent="0.25">
      <c r="A166" t="s">
        <v>186</v>
      </c>
      <c r="B166" t="s">
        <v>13</v>
      </c>
      <c r="C166" t="s">
        <v>16</v>
      </c>
      <c r="D166">
        <v>1</v>
      </c>
      <c r="E166" t="s">
        <v>15</v>
      </c>
      <c r="F166" t="s">
        <v>16</v>
      </c>
      <c r="G166">
        <v>3180</v>
      </c>
      <c r="H166">
        <v>2370</v>
      </c>
      <c r="I166">
        <v>80</v>
      </c>
      <c r="J166">
        <v>240</v>
      </c>
      <c r="L166" t="s">
        <v>28</v>
      </c>
    </row>
    <row r="167" spans="1:12" x14ac:dyDescent="0.25">
      <c r="A167" t="s">
        <v>187</v>
      </c>
      <c r="B167" t="s">
        <v>13</v>
      </c>
      <c r="C167" t="s">
        <v>16</v>
      </c>
      <c r="D167">
        <v>0</v>
      </c>
      <c r="E167" t="s">
        <v>22</v>
      </c>
      <c r="F167" t="s">
        <v>16</v>
      </c>
      <c r="G167">
        <v>2268</v>
      </c>
      <c r="H167">
        <v>0</v>
      </c>
      <c r="I167">
        <v>170</v>
      </c>
      <c r="J167">
        <v>360</v>
      </c>
      <c r="K167">
        <v>0</v>
      </c>
      <c r="L167" t="s">
        <v>26</v>
      </c>
    </row>
    <row r="168" spans="1:12" x14ac:dyDescent="0.25">
      <c r="A168" t="s">
        <v>188</v>
      </c>
      <c r="B168" t="s">
        <v>13</v>
      </c>
      <c r="C168" t="s">
        <v>16</v>
      </c>
      <c r="D168">
        <v>2</v>
      </c>
      <c r="E168" t="s">
        <v>22</v>
      </c>
      <c r="F168" t="s">
        <v>16</v>
      </c>
      <c r="G168">
        <v>1141</v>
      </c>
      <c r="H168">
        <v>2017</v>
      </c>
      <c r="I168">
        <v>120</v>
      </c>
      <c r="J168">
        <v>360</v>
      </c>
      <c r="K168">
        <v>0</v>
      </c>
      <c r="L168" t="s">
        <v>17</v>
      </c>
    </row>
    <row r="169" spans="1:12" x14ac:dyDescent="0.25">
      <c r="A169" t="s">
        <v>189</v>
      </c>
      <c r="B169" t="s">
        <v>13</v>
      </c>
      <c r="C169" t="s">
        <v>14</v>
      </c>
      <c r="D169">
        <v>0</v>
      </c>
      <c r="E169" t="s">
        <v>15</v>
      </c>
      <c r="F169" t="s">
        <v>16</v>
      </c>
      <c r="G169">
        <v>3042</v>
      </c>
      <c r="H169">
        <v>3167</v>
      </c>
      <c r="I169">
        <v>135</v>
      </c>
      <c r="J169">
        <v>360</v>
      </c>
      <c r="K169">
        <v>1</v>
      </c>
      <c r="L169" t="s">
        <v>17</v>
      </c>
    </row>
    <row r="170" spans="1:12" x14ac:dyDescent="0.25">
      <c r="A170" t="s">
        <v>190</v>
      </c>
      <c r="B170" t="s">
        <v>25</v>
      </c>
      <c r="C170" t="s">
        <v>14</v>
      </c>
      <c r="D170" t="s">
        <v>34</v>
      </c>
      <c r="E170" t="s">
        <v>15</v>
      </c>
      <c r="G170">
        <v>1750</v>
      </c>
      <c r="H170">
        <v>2935</v>
      </c>
      <c r="I170">
        <v>94</v>
      </c>
      <c r="J170">
        <v>360</v>
      </c>
      <c r="K170">
        <v>0</v>
      </c>
      <c r="L170" t="s">
        <v>26</v>
      </c>
    </row>
    <row r="171" spans="1:12" x14ac:dyDescent="0.25">
      <c r="A171" t="s">
        <v>191</v>
      </c>
      <c r="B171" t="s">
        <v>25</v>
      </c>
      <c r="C171" t="s">
        <v>14</v>
      </c>
      <c r="D171">
        <v>1</v>
      </c>
      <c r="E171" t="s">
        <v>15</v>
      </c>
      <c r="F171" t="s">
        <v>16</v>
      </c>
      <c r="G171">
        <v>3564</v>
      </c>
      <c r="H171">
        <v>0</v>
      </c>
      <c r="I171">
        <v>79</v>
      </c>
      <c r="J171">
        <v>360</v>
      </c>
      <c r="K171">
        <v>1</v>
      </c>
      <c r="L171" t="s">
        <v>28</v>
      </c>
    </row>
    <row r="172" spans="1:12" x14ac:dyDescent="0.25">
      <c r="A172" t="s">
        <v>192</v>
      </c>
      <c r="B172" t="s">
        <v>25</v>
      </c>
      <c r="C172" t="s">
        <v>16</v>
      </c>
      <c r="D172">
        <v>0</v>
      </c>
      <c r="E172" t="s">
        <v>15</v>
      </c>
      <c r="F172" t="s">
        <v>16</v>
      </c>
      <c r="G172">
        <v>3958</v>
      </c>
      <c r="H172">
        <v>0</v>
      </c>
      <c r="I172">
        <v>110</v>
      </c>
      <c r="J172">
        <v>360</v>
      </c>
      <c r="K172">
        <v>1</v>
      </c>
      <c r="L172" t="s">
        <v>28</v>
      </c>
    </row>
    <row r="173" spans="1:12" x14ac:dyDescent="0.25">
      <c r="A173" t="s">
        <v>193</v>
      </c>
      <c r="B173" t="s">
        <v>13</v>
      </c>
      <c r="C173" t="s">
        <v>14</v>
      </c>
      <c r="D173">
        <v>2</v>
      </c>
      <c r="E173" t="s">
        <v>22</v>
      </c>
      <c r="F173" t="s">
        <v>16</v>
      </c>
      <c r="G173">
        <v>4483</v>
      </c>
      <c r="H173">
        <v>0</v>
      </c>
      <c r="I173">
        <v>130</v>
      </c>
      <c r="J173">
        <v>360</v>
      </c>
      <c r="K173">
        <v>1</v>
      </c>
      <c r="L173" t="s">
        <v>28</v>
      </c>
    </row>
    <row r="174" spans="1:12" x14ac:dyDescent="0.25">
      <c r="A174" t="s">
        <v>194</v>
      </c>
      <c r="B174" t="s">
        <v>13</v>
      </c>
      <c r="C174" t="s">
        <v>14</v>
      </c>
      <c r="D174">
        <v>0</v>
      </c>
      <c r="E174" t="s">
        <v>15</v>
      </c>
      <c r="F174" t="s">
        <v>16</v>
      </c>
      <c r="G174">
        <v>5225</v>
      </c>
      <c r="H174">
        <v>0</v>
      </c>
      <c r="I174">
        <v>143</v>
      </c>
      <c r="J174">
        <v>360</v>
      </c>
      <c r="K174">
        <v>1</v>
      </c>
      <c r="L174" t="s">
        <v>28</v>
      </c>
    </row>
    <row r="175" spans="1:12" x14ac:dyDescent="0.25">
      <c r="A175" t="s">
        <v>195</v>
      </c>
      <c r="B175" t="s">
        <v>13</v>
      </c>
      <c r="C175" t="s">
        <v>16</v>
      </c>
      <c r="D175">
        <v>0</v>
      </c>
      <c r="E175" t="s">
        <v>15</v>
      </c>
      <c r="F175" t="s">
        <v>16</v>
      </c>
      <c r="G175">
        <v>3017</v>
      </c>
      <c r="H175">
        <v>2845</v>
      </c>
      <c r="I175">
        <v>159</v>
      </c>
      <c r="J175">
        <v>180</v>
      </c>
      <c r="K175">
        <v>0</v>
      </c>
      <c r="L175" t="s">
        <v>17</v>
      </c>
    </row>
    <row r="176" spans="1:12" x14ac:dyDescent="0.25">
      <c r="A176" t="s">
        <v>196</v>
      </c>
      <c r="B176" t="s">
        <v>13</v>
      </c>
      <c r="C176" t="s">
        <v>14</v>
      </c>
      <c r="D176">
        <v>0</v>
      </c>
      <c r="E176" t="s">
        <v>22</v>
      </c>
      <c r="F176" t="s">
        <v>16</v>
      </c>
      <c r="G176">
        <v>2431</v>
      </c>
      <c r="H176">
        <v>1820</v>
      </c>
      <c r="I176">
        <v>110</v>
      </c>
      <c r="J176">
        <v>360</v>
      </c>
      <c r="K176">
        <v>0</v>
      </c>
      <c r="L176" t="s">
        <v>28</v>
      </c>
    </row>
    <row r="177" spans="1:12" x14ac:dyDescent="0.25">
      <c r="A177" t="s">
        <v>197</v>
      </c>
      <c r="B177" t="s">
        <v>13</v>
      </c>
      <c r="C177" t="s">
        <v>14</v>
      </c>
      <c r="D177">
        <v>2</v>
      </c>
      <c r="E177" t="s">
        <v>15</v>
      </c>
      <c r="G177">
        <v>4912</v>
      </c>
      <c r="H177">
        <v>4614</v>
      </c>
      <c r="I177">
        <v>160</v>
      </c>
      <c r="J177">
        <v>360</v>
      </c>
      <c r="K177">
        <v>1</v>
      </c>
      <c r="L177" t="s">
        <v>28</v>
      </c>
    </row>
    <row r="178" spans="1:12" x14ac:dyDescent="0.25">
      <c r="A178" t="s">
        <v>198</v>
      </c>
      <c r="B178" t="s">
        <v>13</v>
      </c>
      <c r="C178" t="s">
        <v>14</v>
      </c>
      <c r="D178">
        <v>2</v>
      </c>
      <c r="E178" t="s">
        <v>22</v>
      </c>
      <c r="F178" t="s">
        <v>16</v>
      </c>
      <c r="G178">
        <v>2500</v>
      </c>
      <c r="H178">
        <v>3333</v>
      </c>
      <c r="I178">
        <v>131</v>
      </c>
      <c r="J178">
        <v>360</v>
      </c>
      <c r="K178">
        <v>1</v>
      </c>
      <c r="L178" t="s">
        <v>17</v>
      </c>
    </row>
    <row r="179" spans="1:12" x14ac:dyDescent="0.25">
      <c r="A179" t="s">
        <v>199</v>
      </c>
      <c r="B179" t="s">
        <v>25</v>
      </c>
      <c r="C179" t="s">
        <v>16</v>
      </c>
      <c r="D179">
        <v>0</v>
      </c>
      <c r="E179" t="s">
        <v>15</v>
      </c>
      <c r="F179" t="s">
        <v>16</v>
      </c>
      <c r="G179">
        <v>2918</v>
      </c>
      <c r="H179">
        <v>0</v>
      </c>
      <c r="I179">
        <v>65</v>
      </c>
      <c r="J179">
        <v>360</v>
      </c>
      <c r="L179" t="s">
        <v>28</v>
      </c>
    </row>
    <row r="180" spans="1:12" x14ac:dyDescent="0.25">
      <c r="A180" t="s">
        <v>200</v>
      </c>
      <c r="B180" t="s">
        <v>13</v>
      </c>
      <c r="C180" t="s">
        <v>14</v>
      </c>
      <c r="D180">
        <v>2</v>
      </c>
      <c r="E180" t="s">
        <v>15</v>
      </c>
      <c r="F180" t="s">
        <v>16</v>
      </c>
      <c r="G180">
        <v>5128</v>
      </c>
      <c r="H180">
        <v>0</v>
      </c>
      <c r="I180">
        <v>143</v>
      </c>
      <c r="J180">
        <v>360</v>
      </c>
      <c r="K180">
        <v>1</v>
      </c>
      <c r="L180" t="s">
        <v>28</v>
      </c>
    </row>
    <row r="181" spans="1:12" x14ac:dyDescent="0.25">
      <c r="A181" t="s">
        <v>201</v>
      </c>
      <c r="B181" t="s">
        <v>13</v>
      </c>
      <c r="C181" t="s">
        <v>14</v>
      </c>
      <c r="D181" t="s">
        <v>34</v>
      </c>
      <c r="E181" t="s">
        <v>15</v>
      </c>
      <c r="F181" t="s">
        <v>16</v>
      </c>
      <c r="G181">
        <v>15312</v>
      </c>
      <c r="H181">
        <v>0</v>
      </c>
      <c r="I181">
        <v>187</v>
      </c>
      <c r="J181">
        <v>360</v>
      </c>
      <c r="L181" t="s">
        <v>17</v>
      </c>
    </row>
    <row r="182" spans="1:12" x14ac:dyDescent="0.25">
      <c r="A182" t="s">
        <v>202</v>
      </c>
      <c r="B182" t="s">
        <v>13</v>
      </c>
      <c r="C182" t="s">
        <v>14</v>
      </c>
      <c r="D182">
        <v>2</v>
      </c>
      <c r="E182" t="s">
        <v>15</v>
      </c>
      <c r="F182" t="s">
        <v>16</v>
      </c>
      <c r="G182">
        <v>3958</v>
      </c>
      <c r="H182">
        <v>2632</v>
      </c>
      <c r="I182">
        <v>160</v>
      </c>
      <c r="J182">
        <v>360</v>
      </c>
      <c r="K182">
        <v>1</v>
      </c>
      <c r="L182" t="s">
        <v>26</v>
      </c>
    </row>
    <row r="183" spans="1:12" x14ac:dyDescent="0.25">
      <c r="A183" t="s">
        <v>203</v>
      </c>
      <c r="B183" t="s">
        <v>13</v>
      </c>
      <c r="C183" t="s">
        <v>14</v>
      </c>
      <c r="D183">
        <v>0</v>
      </c>
      <c r="E183" t="s">
        <v>15</v>
      </c>
      <c r="F183" t="s">
        <v>16</v>
      </c>
      <c r="G183">
        <v>4334</v>
      </c>
      <c r="H183">
        <v>2945</v>
      </c>
      <c r="I183">
        <v>165</v>
      </c>
      <c r="J183">
        <v>360</v>
      </c>
      <c r="K183">
        <v>1</v>
      </c>
      <c r="L183" t="s">
        <v>26</v>
      </c>
    </row>
    <row r="184" spans="1:12" x14ac:dyDescent="0.25">
      <c r="A184" t="s">
        <v>204</v>
      </c>
      <c r="B184" t="s">
        <v>13</v>
      </c>
      <c r="C184" t="s">
        <v>14</v>
      </c>
      <c r="D184">
        <v>2</v>
      </c>
      <c r="E184" t="s">
        <v>15</v>
      </c>
      <c r="F184" t="s">
        <v>16</v>
      </c>
      <c r="G184">
        <v>4358</v>
      </c>
      <c r="H184">
        <v>0</v>
      </c>
      <c r="I184">
        <v>110</v>
      </c>
      <c r="J184">
        <v>360</v>
      </c>
      <c r="K184">
        <v>1</v>
      </c>
      <c r="L184" t="s">
        <v>17</v>
      </c>
    </row>
    <row r="185" spans="1:12" x14ac:dyDescent="0.25">
      <c r="A185" t="s">
        <v>205</v>
      </c>
      <c r="B185" t="s">
        <v>25</v>
      </c>
      <c r="C185" t="s">
        <v>14</v>
      </c>
      <c r="D185">
        <v>1</v>
      </c>
      <c r="E185" t="s">
        <v>15</v>
      </c>
      <c r="F185" t="s">
        <v>16</v>
      </c>
      <c r="G185">
        <v>4000</v>
      </c>
      <c r="H185">
        <v>3917</v>
      </c>
      <c r="I185">
        <v>173</v>
      </c>
      <c r="J185">
        <v>360</v>
      </c>
      <c r="K185">
        <v>1</v>
      </c>
      <c r="L185" t="s">
        <v>28</v>
      </c>
    </row>
    <row r="186" spans="1:12" x14ac:dyDescent="0.25">
      <c r="A186" t="s">
        <v>206</v>
      </c>
      <c r="B186" t="s">
        <v>13</v>
      </c>
      <c r="C186" t="s">
        <v>14</v>
      </c>
      <c r="D186" t="s">
        <v>34</v>
      </c>
      <c r="E186" t="s">
        <v>15</v>
      </c>
      <c r="F186" t="s">
        <v>16</v>
      </c>
      <c r="G186">
        <v>10166</v>
      </c>
      <c r="H186">
        <v>750</v>
      </c>
      <c r="I186">
        <v>150</v>
      </c>
      <c r="K186">
        <v>1</v>
      </c>
      <c r="L186" t="s">
        <v>17</v>
      </c>
    </row>
    <row r="187" spans="1:12" x14ac:dyDescent="0.25">
      <c r="A187" t="s">
        <v>207</v>
      </c>
      <c r="B187" t="s">
        <v>13</v>
      </c>
      <c r="C187" t="s">
        <v>14</v>
      </c>
      <c r="D187">
        <v>0</v>
      </c>
      <c r="E187" t="s">
        <v>22</v>
      </c>
      <c r="F187" t="s">
        <v>16</v>
      </c>
      <c r="G187">
        <v>4483</v>
      </c>
      <c r="H187">
        <v>0</v>
      </c>
      <c r="I187">
        <v>135</v>
      </c>
      <c r="J187">
        <v>360</v>
      </c>
      <c r="L187" t="s">
        <v>26</v>
      </c>
    </row>
    <row r="188" spans="1:12" x14ac:dyDescent="0.25">
      <c r="A188" t="s">
        <v>208</v>
      </c>
      <c r="B188" t="s">
        <v>13</v>
      </c>
      <c r="C188" t="s">
        <v>14</v>
      </c>
      <c r="D188">
        <v>2</v>
      </c>
      <c r="E188" t="s">
        <v>22</v>
      </c>
      <c r="F188" t="s">
        <v>16</v>
      </c>
      <c r="G188">
        <v>4521</v>
      </c>
      <c r="H188">
        <v>1184</v>
      </c>
      <c r="I188">
        <v>150</v>
      </c>
      <c r="J188">
        <v>360</v>
      </c>
      <c r="K188">
        <v>1</v>
      </c>
      <c r="L188" t="s">
        <v>26</v>
      </c>
    </row>
    <row r="189" spans="1:12" x14ac:dyDescent="0.25">
      <c r="A189" t="s">
        <v>209</v>
      </c>
      <c r="B189" t="s">
        <v>13</v>
      </c>
      <c r="C189" t="s">
        <v>14</v>
      </c>
      <c r="D189">
        <v>2</v>
      </c>
      <c r="E189" t="s">
        <v>15</v>
      </c>
      <c r="F189" t="s">
        <v>16</v>
      </c>
      <c r="G189">
        <v>9167</v>
      </c>
      <c r="H189">
        <v>0</v>
      </c>
      <c r="I189">
        <v>235</v>
      </c>
      <c r="J189">
        <v>360</v>
      </c>
      <c r="K189">
        <v>1</v>
      </c>
      <c r="L189" t="s">
        <v>26</v>
      </c>
    </row>
    <row r="190" spans="1:12" x14ac:dyDescent="0.25">
      <c r="A190" t="s">
        <v>210</v>
      </c>
      <c r="B190" t="s">
        <v>13</v>
      </c>
      <c r="C190" t="s">
        <v>14</v>
      </c>
      <c r="D190">
        <v>0</v>
      </c>
      <c r="E190" t="s">
        <v>22</v>
      </c>
      <c r="F190" t="s">
        <v>16</v>
      </c>
      <c r="G190">
        <v>13083</v>
      </c>
      <c r="H190">
        <v>0</v>
      </c>
      <c r="J190">
        <v>360</v>
      </c>
      <c r="K190">
        <v>1</v>
      </c>
      <c r="L190" t="s">
        <v>28</v>
      </c>
    </row>
    <row r="191" spans="1:12" x14ac:dyDescent="0.25">
      <c r="A191" t="s">
        <v>211</v>
      </c>
      <c r="B191" t="s">
        <v>13</v>
      </c>
      <c r="C191" t="s">
        <v>14</v>
      </c>
      <c r="D191">
        <v>2</v>
      </c>
      <c r="E191" t="s">
        <v>15</v>
      </c>
      <c r="F191" t="s">
        <v>16</v>
      </c>
      <c r="G191">
        <v>7874</v>
      </c>
      <c r="H191">
        <v>3967</v>
      </c>
      <c r="I191">
        <v>336</v>
      </c>
      <c r="J191">
        <v>360</v>
      </c>
      <c r="K191">
        <v>1</v>
      </c>
      <c r="L191" t="s">
        <v>28</v>
      </c>
    </row>
    <row r="192" spans="1:12" x14ac:dyDescent="0.25">
      <c r="A192" t="s">
        <v>212</v>
      </c>
      <c r="B192" t="s">
        <v>25</v>
      </c>
      <c r="C192" t="s">
        <v>14</v>
      </c>
      <c r="D192">
        <v>1</v>
      </c>
      <c r="E192" t="s">
        <v>15</v>
      </c>
      <c r="F192" t="s">
        <v>16</v>
      </c>
      <c r="G192">
        <v>4333</v>
      </c>
      <c r="H192">
        <v>0</v>
      </c>
      <c r="I192">
        <v>132</v>
      </c>
      <c r="J192">
        <v>84</v>
      </c>
      <c r="K192">
        <v>1</v>
      </c>
      <c r="L192" t="s">
        <v>28</v>
      </c>
    </row>
    <row r="193" spans="1:12" x14ac:dyDescent="0.25">
      <c r="A193" t="s">
        <v>213</v>
      </c>
      <c r="B193" t="s">
        <v>13</v>
      </c>
      <c r="C193" t="s">
        <v>16</v>
      </c>
      <c r="D193">
        <v>0</v>
      </c>
      <c r="E193" t="s">
        <v>15</v>
      </c>
      <c r="F193" t="s">
        <v>16</v>
      </c>
      <c r="G193">
        <v>4083</v>
      </c>
      <c r="H193">
        <v>0</v>
      </c>
      <c r="I193">
        <v>96</v>
      </c>
      <c r="J193">
        <v>360</v>
      </c>
      <c r="K193">
        <v>1</v>
      </c>
      <c r="L193" t="s">
        <v>17</v>
      </c>
    </row>
    <row r="194" spans="1:12" x14ac:dyDescent="0.25">
      <c r="A194" t="s">
        <v>214</v>
      </c>
      <c r="B194" t="s">
        <v>13</v>
      </c>
      <c r="C194" t="s">
        <v>14</v>
      </c>
      <c r="D194">
        <v>2</v>
      </c>
      <c r="E194" t="s">
        <v>22</v>
      </c>
      <c r="G194">
        <v>3785</v>
      </c>
      <c r="H194">
        <v>2912</v>
      </c>
      <c r="I194">
        <v>180</v>
      </c>
      <c r="J194">
        <v>360</v>
      </c>
      <c r="K194">
        <v>0</v>
      </c>
      <c r="L194" t="s">
        <v>28</v>
      </c>
    </row>
    <row r="195" spans="1:12" x14ac:dyDescent="0.25">
      <c r="A195" t="s">
        <v>215</v>
      </c>
      <c r="B195" t="s">
        <v>13</v>
      </c>
      <c r="C195" t="s">
        <v>14</v>
      </c>
      <c r="D195" t="s">
        <v>34</v>
      </c>
      <c r="E195" t="s">
        <v>22</v>
      </c>
      <c r="F195" t="s">
        <v>16</v>
      </c>
      <c r="G195">
        <v>2654</v>
      </c>
      <c r="H195">
        <v>1998</v>
      </c>
      <c r="I195">
        <v>128</v>
      </c>
      <c r="J195">
        <v>360</v>
      </c>
      <c r="K195">
        <v>0</v>
      </c>
      <c r="L195" t="s">
        <v>28</v>
      </c>
    </row>
    <row r="196" spans="1:12" x14ac:dyDescent="0.25">
      <c r="A196" t="s">
        <v>216</v>
      </c>
      <c r="B196" t="s">
        <v>13</v>
      </c>
      <c r="C196" t="s">
        <v>14</v>
      </c>
      <c r="D196">
        <v>1</v>
      </c>
      <c r="E196" t="s">
        <v>15</v>
      </c>
      <c r="F196" t="s">
        <v>16</v>
      </c>
      <c r="G196">
        <v>10000</v>
      </c>
      <c r="H196">
        <v>2690</v>
      </c>
      <c r="I196">
        <v>412</v>
      </c>
      <c r="J196">
        <v>360</v>
      </c>
      <c r="K196">
        <v>1</v>
      </c>
      <c r="L196" t="s">
        <v>26</v>
      </c>
    </row>
    <row r="197" spans="1:12" x14ac:dyDescent="0.25">
      <c r="A197" t="s">
        <v>217</v>
      </c>
      <c r="B197" t="s">
        <v>13</v>
      </c>
      <c r="C197" t="s">
        <v>16</v>
      </c>
      <c r="D197">
        <v>0</v>
      </c>
      <c r="E197" t="s">
        <v>15</v>
      </c>
      <c r="F197" t="s">
        <v>14</v>
      </c>
      <c r="G197">
        <v>5833</v>
      </c>
      <c r="H197">
        <v>0</v>
      </c>
      <c r="I197">
        <v>116</v>
      </c>
      <c r="J197">
        <v>360</v>
      </c>
      <c r="K197">
        <v>1</v>
      </c>
      <c r="L197" t="s">
        <v>17</v>
      </c>
    </row>
    <row r="198" spans="1:12" x14ac:dyDescent="0.25">
      <c r="A198" t="s">
        <v>218</v>
      </c>
      <c r="B198" t="s">
        <v>13</v>
      </c>
      <c r="C198" t="s">
        <v>14</v>
      </c>
      <c r="D198">
        <v>1</v>
      </c>
      <c r="E198" t="s">
        <v>15</v>
      </c>
      <c r="F198" t="s">
        <v>16</v>
      </c>
      <c r="G198">
        <v>4796</v>
      </c>
      <c r="H198">
        <v>0</v>
      </c>
      <c r="I198">
        <v>114</v>
      </c>
      <c r="J198">
        <v>360</v>
      </c>
      <c r="K198">
        <v>0</v>
      </c>
      <c r="L198" t="s">
        <v>26</v>
      </c>
    </row>
    <row r="199" spans="1:12" x14ac:dyDescent="0.25">
      <c r="A199" t="s">
        <v>219</v>
      </c>
      <c r="B199" t="s">
        <v>13</v>
      </c>
      <c r="C199" t="s">
        <v>14</v>
      </c>
      <c r="D199">
        <v>0</v>
      </c>
      <c r="E199" t="s">
        <v>22</v>
      </c>
      <c r="F199" t="s">
        <v>16</v>
      </c>
      <c r="G199">
        <v>2000</v>
      </c>
      <c r="H199">
        <v>1600</v>
      </c>
      <c r="I199">
        <v>115</v>
      </c>
      <c r="J199">
        <v>360</v>
      </c>
      <c r="K199">
        <v>1</v>
      </c>
      <c r="L199" t="s">
        <v>28</v>
      </c>
    </row>
    <row r="200" spans="1:12" x14ac:dyDescent="0.25">
      <c r="A200" t="s">
        <v>220</v>
      </c>
      <c r="B200" t="s">
        <v>13</v>
      </c>
      <c r="C200" t="s">
        <v>14</v>
      </c>
      <c r="D200">
        <v>2</v>
      </c>
      <c r="E200" t="s">
        <v>15</v>
      </c>
      <c r="F200" t="s">
        <v>16</v>
      </c>
      <c r="G200">
        <v>2540</v>
      </c>
      <c r="H200">
        <v>700</v>
      </c>
      <c r="I200">
        <v>104</v>
      </c>
      <c r="J200">
        <v>360</v>
      </c>
      <c r="K200">
        <v>0</v>
      </c>
      <c r="L200" t="s">
        <v>17</v>
      </c>
    </row>
    <row r="201" spans="1:12" x14ac:dyDescent="0.25">
      <c r="A201" t="s">
        <v>221</v>
      </c>
      <c r="B201" t="s">
        <v>13</v>
      </c>
      <c r="C201" t="s">
        <v>14</v>
      </c>
      <c r="D201">
        <v>0</v>
      </c>
      <c r="E201" t="s">
        <v>15</v>
      </c>
      <c r="F201" t="s">
        <v>14</v>
      </c>
      <c r="G201">
        <v>1900</v>
      </c>
      <c r="H201">
        <v>1442</v>
      </c>
      <c r="I201">
        <v>88</v>
      </c>
      <c r="J201">
        <v>360</v>
      </c>
      <c r="K201">
        <v>1</v>
      </c>
      <c r="L201" t="s">
        <v>28</v>
      </c>
    </row>
    <row r="202" spans="1:12" x14ac:dyDescent="0.25">
      <c r="A202" t="s">
        <v>222</v>
      </c>
      <c r="B202" t="s">
        <v>13</v>
      </c>
      <c r="C202" t="s">
        <v>14</v>
      </c>
      <c r="D202">
        <v>0</v>
      </c>
      <c r="E202" t="s">
        <v>15</v>
      </c>
      <c r="F202" t="s">
        <v>14</v>
      </c>
      <c r="G202">
        <v>8706</v>
      </c>
      <c r="H202">
        <v>0</v>
      </c>
      <c r="I202">
        <v>108</v>
      </c>
      <c r="J202">
        <v>480</v>
      </c>
      <c r="K202">
        <v>1</v>
      </c>
      <c r="L202" t="s">
        <v>28</v>
      </c>
    </row>
    <row r="203" spans="1:12" x14ac:dyDescent="0.25">
      <c r="A203" t="s">
        <v>223</v>
      </c>
      <c r="B203" t="s">
        <v>13</v>
      </c>
      <c r="C203" t="s">
        <v>14</v>
      </c>
      <c r="D203" t="s">
        <v>34</v>
      </c>
      <c r="E203" t="s">
        <v>22</v>
      </c>
      <c r="F203" t="s">
        <v>16</v>
      </c>
      <c r="G203">
        <v>2855</v>
      </c>
      <c r="H203">
        <v>542</v>
      </c>
      <c r="I203">
        <v>90</v>
      </c>
      <c r="J203">
        <v>360</v>
      </c>
      <c r="K203">
        <v>1</v>
      </c>
      <c r="L203" t="s">
        <v>17</v>
      </c>
    </row>
    <row r="204" spans="1:12" x14ac:dyDescent="0.25">
      <c r="A204" t="s">
        <v>224</v>
      </c>
      <c r="B204" t="s">
        <v>13</v>
      </c>
      <c r="C204" t="s">
        <v>14</v>
      </c>
      <c r="E204" t="s">
        <v>15</v>
      </c>
      <c r="F204" t="s">
        <v>16</v>
      </c>
      <c r="G204">
        <v>3016</v>
      </c>
      <c r="H204">
        <v>1300</v>
      </c>
      <c r="I204">
        <v>100</v>
      </c>
      <c r="J204">
        <v>360</v>
      </c>
      <c r="L204" t="s">
        <v>17</v>
      </c>
    </row>
    <row r="205" spans="1:12" x14ac:dyDescent="0.25">
      <c r="A205" t="s">
        <v>225</v>
      </c>
      <c r="B205" t="s">
        <v>25</v>
      </c>
      <c r="C205" t="s">
        <v>14</v>
      </c>
      <c r="D205">
        <v>0</v>
      </c>
      <c r="E205" t="s">
        <v>15</v>
      </c>
      <c r="F205" t="s">
        <v>16</v>
      </c>
      <c r="G205">
        <v>3159</v>
      </c>
      <c r="H205">
        <v>2374</v>
      </c>
      <c r="I205">
        <v>108</v>
      </c>
      <c r="J205">
        <v>360</v>
      </c>
      <c r="K205">
        <v>1</v>
      </c>
      <c r="L205" t="s">
        <v>26</v>
      </c>
    </row>
    <row r="206" spans="1:12" x14ac:dyDescent="0.25">
      <c r="A206" t="s">
        <v>226</v>
      </c>
      <c r="B206" t="s">
        <v>25</v>
      </c>
      <c r="C206" t="s">
        <v>16</v>
      </c>
      <c r="D206">
        <v>0</v>
      </c>
      <c r="E206" t="s">
        <v>15</v>
      </c>
      <c r="F206" t="s">
        <v>16</v>
      </c>
      <c r="G206">
        <v>1937</v>
      </c>
      <c r="H206">
        <v>1152</v>
      </c>
      <c r="I206">
        <v>78</v>
      </c>
      <c r="J206">
        <v>360</v>
      </c>
      <c r="K206">
        <v>1</v>
      </c>
      <c r="L206" t="s">
        <v>26</v>
      </c>
    </row>
    <row r="207" spans="1:12" x14ac:dyDescent="0.25">
      <c r="A207" t="s">
        <v>227</v>
      </c>
      <c r="B207" t="s">
        <v>13</v>
      </c>
      <c r="C207" t="s">
        <v>14</v>
      </c>
      <c r="D207">
        <v>0</v>
      </c>
      <c r="E207" t="s">
        <v>15</v>
      </c>
      <c r="F207" t="s">
        <v>16</v>
      </c>
      <c r="G207">
        <v>2613</v>
      </c>
      <c r="H207">
        <v>2417</v>
      </c>
      <c r="I207">
        <v>123</v>
      </c>
      <c r="J207">
        <v>360</v>
      </c>
      <c r="K207">
        <v>1</v>
      </c>
      <c r="L207" t="s">
        <v>26</v>
      </c>
    </row>
    <row r="208" spans="1:12" x14ac:dyDescent="0.25">
      <c r="A208" t="s">
        <v>228</v>
      </c>
      <c r="B208" t="s">
        <v>13</v>
      </c>
      <c r="C208" t="s">
        <v>14</v>
      </c>
      <c r="D208">
        <v>1</v>
      </c>
      <c r="E208" t="s">
        <v>15</v>
      </c>
      <c r="F208" t="s">
        <v>16</v>
      </c>
      <c r="G208">
        <v>4960</v>
      </c>
      <c r="H208">
        <v>2600</v>
      </c>
      <c r="I208">
        <v>187</v>
      </c>
      <c r="J208">
        <v>360</v>
      </c>
      <c r="K208">
        <v>1</v>
      </c>
      <c r="L208" t="s">
        <v>26</v>
      </c>
    </row>
    <row r="209" spans="1:12" x14ac:dyDescent="0.25">
      <c r="A209" t="s">
        <v>229</v>
      </c>
      <c r="B209" t="s">
        <v>13</v>
      </c>
      <c r="C209" t="s">
        <v>14</v>
      </c>
      <c r="D209">
        <v>1</v>
      </c>
      <c r="E209" t="s">
        <v>15</v>
      </c>
      <c r="F209" t="s">
        <v>16</v>
      </c>
      <c r="G209">
        <v>3074</v>
      </c>
      <c r="H209">
        <v>1083</v>
      </c>
      <c r="I209">
        <v>146</v>
      </c>
      <c r="J209">
        <v>360</v>
      </c>
      <c r="K209">
        <v>1</v>
      </c>
      <c r="L209" t="s">
        <v>26</v>
      </c>
    </row>
    <row r="210" spans="1:12" x14ac:dyDescent="0.25">
      <c r="A210" t="s">
        <v>230</v>
      </c>
      <c r="B210" t="s">
        <v>25</v>
      </c>
      <c r="C210" t="s">
        <v>16</v>
      </c>
      <c r="D210">
        <v>0</v>
      </c>
      <c r="E210" t="s">
        <v>15</v>
      </c>
      <c r="F210" t="s">
        <v>16</v>
      </c>
      <c r="G210">
        <v>4213</v>
      </c>
      <c r="H210">
        <v>0</v>
      </c>
      <c r="I210">
        <v>80</v>
      </c>
      <c r="J210">
        <v>360</v>
      </c>
      <c r="K210">
        <v>1</v>
      </c>
      <c r="L210" t="s">
        <v>17</v>
      </c>
    </row>
    <row r="211" spans="1:12" x14ac:dyDescent="0.25">
      <c r="A211" t="s">
        <v>231</v>
      </c>
      <c r="C211" t="s">
        <v>16</v>
      </c>
      <c r="D211">
        <v>1</v>
      </c>
      <c r="E211" t="s">
        <v>22</v>
      </c>
      <c r="F211" t="s">
        <v>16</v>
      </c>
      <c r="G211">
        <v>2038</v>
      </c>
      <c r="H211">
        <v>4027</v>
      </c>
      <c r="I211">
        <v>100</v>
      </c>
      <c r="J211">
        <v>360</v>
      </c>
      <c r="K211">
        <v>1</v>
      </c>
      <c r="L211" t="s">
        <v>28</v>
      </c>
    </row>
    <row r="212" spans="1:12" x14ac:dyDescent="0.25">
      <c r="A212" t="s">
        <v>232</v>
      </c>
      <c r="B212" t="s">
        <v>25</v>
      </c>
      <c r="C212" t="s">
        <v>16</v>
      </c>
      <c r="D212">
        <v>0</v>
      </c>
      <c r="E212" t="s">
        <v>15</v>
      </c>
      <c r="F212" t="s">
        <v>16</v>
      </c>
      <c r="G212">
        <v>2362</v>
      </c>
      <c r="H212">
        <v>0</v>
      </c>
      <c r="I212">
        <v>55</v>
      </c>
      <c r="J212">
        <v>360</v>
      </c>
      <c r="K212">
        <v>1</v>
      </c>
      <c r="L212" t="s">
        <v>17</v>
      </c>
    </row>
    <row r="213" spans="1:12" x14ac:dyDescent="0.25">
      <c r="A213" t="s">
        <v>233</v>
      </c>
      <c r="B213" t="s">
        <v>13</v>
      </c>
      <c r="C213" t="s">
        <v>16</v>
      </c>
      <c r="D213">
        <v>0</v>
      </c>
      <c r="E213" t="s">
        <v>15</v>
      </c>
      <c r="F213" t="s">
        <v>16</v>
      </c>
      <c r="G213">
        <v>5333</v>
      </c>
      <c r="H213">
        <v>2400</v>
      </c>
      <c r="I213">
        <v>200</v>
      </c>
      <c r="J213">
        <v>360</v>
      </c>
      <c r="K213">
        <v>0</v>
      </c>
      <c r="L213" t="s">
        <v>28</v>
      </c>
    </row>
    <row r="214" spans="1:12" x14ac:dyDescent="0.25">
      <c r="A214" t="s">
        <v>234</v>
      </c>
      <c r="B214" t="s">
        <v>13</v>
      </c>
      <c r="C214" t="s">
        <v>14</v>
      </c>
      <c r="D214" t="s">
        <v>34</v>
      </c>
      <c r="E214" t="s">
        <v>15</v>
      </c>
      <c r="F214" t="s">
        <v>14</v>
      </c>
      <c r="G214">
        <v>5384</v>
      </c>
      <c r="H214">
        <v>0</v>
      </c>
      <c r="I214">
        <v>150</v>
      </c>
      <c r="J214">
        <v>360</v>
      </c>
      <c r="K214">
        <v>1</v>
      </c>
      <c r="L214" t="s">
        <v>26</v>
      </c>
    </row>
    <row r="215" spans="1:12" x14ac:dyDescent="0.25">
      <c r="A215" t="s">
        <v>235</v>
      </c>
      <c r="B215" t="s">
        <v>13</v>
      </c>
      <c r="C215" t="s">
        <v>16</v>
      </c>
      <c r="D215">
        <v>0</v>
      </c>
      <c r="E215" t="s">
        <v>15</v>
      </c>
      <c r="F215" t="s">
        <v>16</v>
      </c>
      <c r="G215">
        <v>5708</v>
      </c>
      <c r="H215">
        <v>0</v>
      </c>
      <c r="I215">
        <v>150</v>
      </c>
      <c r="J215">
        <v>360</v>
      </c>
      <c r="K215">
        <v>1</v>
      </c>
      <c r="L215" t="s">
        <v>28</v>
      </c>
    </row>
    <row r="216" spans="1:12" x14ac:dyDescent="0.25">
      <c r="A216" t="s">
        <v>236</v>
      </c>
      <c r="B216" t="s">
        <v>13</v>
      </c>
      <c r="C216" t="s">
        <v>14</v>
      </c>
      <c r="D216">
        <v>0</v>
      </c>
      <c r="E216" t="s">
        <v>22</v>
      </c>
      <c r="F216" t="s">
        <v>16</v>
      </c>
      <c r="G216">
        <v>3754</v>
      </c>
      <c r="H216">
        <v>3719</v>
      </c>
      <c r="I216">
        <v>118</v>
      </c>
      <c r="K216">
        <v>1</v>
      </c>
      <c r="L216" t="s">
        <v>28</v>
      </c>
    </row>
    <row r="217" spans="1:12" x14ac:dyDescent="0.25">
      <c r="A217" t="s">
        <v>237</v>
      </c>
      <c r="B217" t="s">
        <v>13</v>
      </c>
      <c r="C217" t="s">
        <v>14</v>
      </c>
      <c r="D217">
        <v>0</v>
      </c>
      <c r="E217" t="s">
        <v>22</v>
      </c>
      <c r="F217" t="s">
        <v>16</v>
      </c>
      <c r="G217">
        <v>2914</v>
      </c>
      <c r="H217">
        <v>2130</v>
      </c>
      <c r="I217">
        <v>150</v>
      </c>
      <c r="J217">
        <v>300</v>
      </c>
      <c r="K217">
        <v>1</v>
      </c>
      <c r="L217" t="s">
        <v>17</v>
      </c>
    </row>
    <row r="218" spans="1:12" x14ac:dyDescent="0.25">
      <c r="A218" t="s">
        <v>238</v>
      </c>
      <c r="B218" t="s">
        <v>13</v>
      </c>
      <c r="C218" t="s">
        <v>14</v>
      </c>
      <c r="D218">
        <v>0</v>
      </c>
      <c r="E218" t="s">
        <v>22</v>
      </c>
      <c r="F218" t="s">
        <v>16</v>
      </c>
      <c r="G218">
        <v>2747</v>
      </c>
      <c r="H218">
        <v>2458</v>
      </c>
      <c r="I218">
        <v>118</v>
      </c>
      <c r="J218">
        <v>36</v>
      </c>
      <c r="K218">
        <v>1</v>
      </c>
      <c r="L218" t="s">
        <v>26</v>
      </c>
    </row>
    <row r="219" spans="1:12" x14ac:dyDescent="0.25">
      <c r="A219" t="s">
        <v>239</v>
      </c>
      <c r="B219" t="s">
        <v>13</v>
      </c>
      <c r="C219" t="s">
        <v>14</v>
      </c>
      <c r="D219">
        <v>0</v>
      </c>
      <c r="E219" t="s">
        <v>15</v>
      </c>
      <c r="F219" t="s">
        <v>16</v>
      </c>
      <c r="G219">
        <v>7830</v>
      </c>
      <c r="H219">
        <v>2183</v>
      </c>
      <c r="I219">
        <v>212</v>
      </c>
      <c r="J219">
        <v>360</v>
      </c>
      <c r="K219">
        <v>1</v>
      </c>
      <c r="L219" t="s">
        <v>28</v>
      </c>
    </row>
    <row r="220" spans="1:12" x14ac:dyDescent="0.25">
      <c r="A220" t="s">
        <v>240</v>
      </c>
      <c r="B220" t="s">
        <v>13</v>
      </c>
      <c r="C220" t="s">
        <v>14</v>
      </c>
      <c r="D220">
        <v>1</v>
      </c>
      <c r="E220" t="s">
        <v>15</v>
      </c>
      <c r="F220" t="s">
        <v>14</v>
      </c>
      <c r="G220">
        <v>3507</v>
      </c>
      <c r="H220">
        <v>3148</v>
      </c>
      <c r="I220">
        <v>212</v>
      </c>
      <c r="J220">
        <v>360</v>
      </c>
      <c r="K220">
        <v>1</v>
      </c>
      <c r="L220" t="s">
        <v>28</v>
      </c>
    </row>
    <row r="221" spans="1:12" x14ac:dyDescent="0.25">
      <c r="A221" t="s">
        <v>241</v>
      </c>
      <c r="B221" t="s">
        <v>13</v>
      </c>
      <c r="C221" t="s">
        <v>14</v>
      </c>
      <c r="D221">
        <v>1</v>
      </c>
      <c r="E221" t="s">
        <v>15</v>
      </c>
      <c r="F221" t="s">
        <v>16</v>
      </c>
      <c r="G221">
        <v>3747</v>
      </c>
      <c r="H221">
        <v>2139</v>
      </c>
      <c r="I221">
        <v>125</v>
      </c>
      <c r="J221">
        <v>360</v>
      </c>
      <c r="K221">
        <v>1</v>
      </c>
      <c r="L221" t="s">
        <v>17</v>
      </c>
    </row>
    <row r="222" spans="1:12" x14ac:dyDescent="0.25">
      <c r="A222" t="s">
        <v>242</v>
      </c>
      <c r="B222" t="s">
        <v>13</v>
      </c>
      <c r="C222" t="s">
        <v>14</v>
      </c>
      <c r="D222">
        <v>0</v>
      </c>
      <c r="E222" t="s">
        <v>15</v>
      </c>
      <c r="F222" t="s">
        <v>16</v>
      </c>
      <c r="G222">
        <v>2166</v>
      </c>
      <c r="H222">
        <v>2166</v>
      </c>
      <c r="I222">
        <v>108</v>
      </c>
      <c r="J222">
        <v>360</v>
      </c>
      <c r="L222" t="s">
        <v>17</v>
      </c>
    </row>
    <row r="223" spans="1:12" x14ac:dyDescent="0.25">
      <c r="A223" t="s">
        <v>243</v>
      </c>
      <c r="B223" t="s">
        <v>13</v>
      </c>
      <c r="C223" t="s">
        <v>14</v>
      </c>
      <c r="D223">
        <v>0</v>
      </c>
      <c r="E223" t="s">
        <v>22</v>
      </c>
      <c r="F223" t="s">
        <v>16</v>
      </c>
      <c r="G223">
        <v>3500</v>
      </c>
      <c r="H223">
        <v>2168</v>
      </c>
      <c r="I223">
        <v>149</v>
      </c>
      <c r="J223">
        <v>360</v>
      </c>
      <c r="K223">
        <v>1</v>
      </c>
      <c r="L223" t="s">
        <v>28</v>
      </c>
    </row>
    <row r="224" spans="1:12" x14ac:dyDescent="0.25">
      <c r="A224" t="s">
        <v>244</v>
      </c>
      <c r="B224" t="s">
        <v>13</v>
      </c>
      <c r="C224" t="s">
        <v>14</v>
      </c>
      <c r="D224">
        <v>2</v>
      </c>
      <c r="E224" t="s">
        <v>22</v>
      </c>
      <c r="F224" t="s">
        <v>16</v>
      </c>
      <c r="G224">
        <v>2896</v>
      </c>
      <c r="H224">
        <v>0</v>
      </c>
      <c r="I224">
        <v>80</v>
      </c>
      <c r="J224">
        <v>480</v>
      </c>
      <c r="K224">
        <v>1</v>
      </c>
      <c r="L224" t="s">
        <v>17</v>
      </c>
    </row>
    <row r="225" spans="1:12" x14ac:dyDescent="0.25">
      <c r="A225" t="s">
        <v>245</v>
      </c>
      <c r="B225" t="s">
        <v>25</v>
      </c>
      <c r="C225" t="s">
        <v>16</v>
      </c>
      <c r="D225">
        <v>1</v>
      </c>
      <c r="E225" t="s">
        <v>15</v>
      </c>
      <c r="F225" t="s">
        <v>16</v>
      </c>
      <c r="G225">
        <v>5062</v>
      </c>
      <c r="H225">
        <v>0</v>
      </c>
      <c r="I225">
        <v>152</v>
      </c>
      <c r="J225">
        <v>300</v>
      </c>
      <c r="K225">
        <v>1</v>
      </c>
      <c r="L225" t="s">
        <v>28</v>
      </c>
    </row>
    <row r="226" spans="1:12" x14ac:dyDescent="0.25">
      <c r="A226" t="s">
        <v>246</v>
      </c>
      <c r="B226" t="s">
        <v>25</v>
      </c>
      <c r="C226" t="s">
        <v>16</v>
      </c>
      <c r="D226">
        <v>2</v>
      </c>
      <c r="E226" t="s">
        <v>15</v>
      </c>
      <c r="F226" t="s">
        <v>14</v>
      </c>
      <c r="G226">
        <v>5184</v>
      </c>
      <c r="H226">
        <v>0</v>
      </c>
      <c r="I226">
        <v>187</v>
      </c>
      <c r="J226">
        <v>360</v>
      </c>
      <c r="K226">
        <v>0</v>
      </c>
      <c r="L226" t="s">
        <v>26</v>
      </c>
    </row>
    <row r="227" spans="1:12" x14ac:dyDescent="0.25">
      <c r="A227" t="s">
        <v>247</v>
      </c>
      <c r="B227" t="s">
        <v>25</v>
      </c>
      <c r="C227" t="s">
        <v>16</v>
      </c>
      <c r="D227">
        <v>0</v>
      </c>
      <c r="E227" t="s">
        <v>15</v>
      </c>
      <c r="F227" t="s">
        <v>16</v>
      </c>
      <c r="G227">
        <v>2545</v>
      </c>
      <c r="H227">
        <v>0</v>
      </c>
      <c r="I227">
        <v>74</v>
      </c>
      <c r="J227">
        <v>360</v>
      </c>
      <c r="K227">
        <v>1</v>
      </c>
      <c r="L227" t="s">
        <v>17</v>
      </c>
    </row>
    <row r="228" spans="1:12" x14ac:dyDescent="0.25">
      <c r="A228" t="s">
        <v>248</v>
      </c>
      <c r="B228" t="s">
        <v>13</v>
      </c>
      <c r="C228" t="s">
        <v>14</v>
      </c>
      <c r="D228">
        <v>0</v>
      </c>
      <c r="E228" t="s">
        <v>15</v>
      </c>
      <c r="F228" t="s">
        <v>16</v>
      </c>
      <c r="G228">
        <v>2553</v>
      </c>
      <c r="H228">
        <v>1768</v>
      </c>
      <c r="I228">
        <v>102</v>
      </c>
      <c r="J228">
        <v>360</v>
      </c>
      <c r="K228">
        <v>1</v>
      </c>
      <c r="L228" t="s">
        <v>17</v>
      </c>
    </row>
    <row r="229" spans="1:12" x14ac:dyDescent="0.25">
      <c r="A229" t="s">
        <v>249</v>
      </c>
      <c r="B229" t="s">
        <v>13</v>
      </c>
      <c r="C229" t="s">
        <v>14</v>
      </c>
      <c r="D229">
        <v>1</v>
      </c>
      <c r="E229" t="s">
        <v>15</v>
      </c>
      <c r="F229" t="s">
        <v>16</v>
      </c>
      <c r="G229">
        <v>3436</v>
      </c>
      <c r="H229">
        <v>3809</v>
      </c>
      <c r="I229">
        <v>100</v>
      </c>
      <c r="J229">
        <v>360</v>
      </c>
      <c r="K229">
        <v>1</v>
      </c>
      <c r="L229" t="s">
        <v>28</v>
      </c>
    </row>
    <row r="230" spans="1:12" x14ac:dyDescent="0.25">
      <c r="A230" t="s">
        <v>250</v>
      </c>
      <c r="B230" t="s">
        <v>13</v>
      </c>
      <c r="C230" t="s">
        <v>16</v>
      </c>
      <c r="D230">
        <v>0</v>
      </c>
      <c r="E230" t="s">
        <v>15</v>
      </c>
      <c r="F230" t="s">
        <v>16</v>
      </c>
      <c r="G230">
        <v>2412</v>
      </c>
      <c r="H230">
        <v>2755</v>
      </c>
      <c r="I230">
        <v>130</v>
      </c>
      <c r="J230">
        <v>360</v>
      </c>
      <c r="K230">
        <v>1</v>
      </c>
      <c r="L230" t="s">
        <v>28</v>
      </c>
    </row>
    <row r="231" spans="1:12" x14ac:dyDescent="0.25">
      <c r="A231" t="s">
        <v>251</v>
      </c>
      <c r="B231" t="s">
        <v>13</v>
      </c>
      <c r="C231" t="s">
        <v>14</v>
      </c>
      <c r="D231" t="s">
        <v>34</v>
      </c>
      <c r="E231" t="s">
        <v>22</v>
      </c>
      <c r="F231" t="s">
        <v>16</v>
      </c>
      <c r="G231">
        <v>5180</v>
      </c>
      <c r="H231">
        <v>0</v>
      </c>
      <c r="I231">
        <v>125</v>
      </c>
      <c r="J231">
        <v>360</v>
      </c>
      <c r="K231">
        <v>0</v>
      </c>
      <c r="L231" t="s">
        <v>17</v>
      </c>
    </row>
    <row r="232" spans="1:12" x14ac:dyDescent="0.25">
      <c r="A232" t="s">
        <v>252</v>
      </c>
      <c r="B232" t="s">
        <v>13</v>
      </c>
      <c r="C232" t="s">
        <v>16</v>
      </c>
      <c r="D232">
        <v>0</v>
      </c>
      <c r="E232" t="s">
        <v>15</v>
      </c>
      <c r="F232" t="s">
        <v>16</v>
      </c>
      <c r="G232">
        <v>14911</v>
      </c>
      <c r="H232">
        <v>14507</v>
      </c>
      <c r="I232">
        <v>130</v>
      </c>
      <c r="J232">
        <v>360</v>
      </c>
      <c r="K232">
        <v>1</v>
      </c>
      <c r="L232" t="s">
        <v>26</v>
      </c>
    </row>
    <row r="233" spans="1:12" x14ac:dyDescent="0.25">
      <c r="A233" t="s">
        <v>253</v>
      </c>
      <c r="C233" t="s">
        <v>16</v>
      </c>
      <c r="D233">
        <v>0</v>
      </c>
      <c r="E233" t="s">
        <v>15</v>
      </c>
      <c r="F233" t="s">
        <v>14</v>
      </c>
      <c r="G233">
        <v>2860</v>
      </c>
      <c r="H233">
        <v>2988</v>
      </c>
      <c r="I233">
        <v>138</v>
      </c>
      <c r="J233">
        <v>360</v>
      </c>
      <c r="K233">
        <v>1</v>
      </c>
      <c r="L233" t="s">
        <v>17</v>
      </c>
    </row>
    <row r="234" spans="1:12" x14ac:dyDescent="0.25">
      <c r="A234" t="s">
        <v>254</v>
      </c>
      <c r="B234" t="s">
        <v>13</v>
      </c>
      <c r="C234" t="s">
        <v>14</v>
      </c>
      <c r="D234">
        <v>0</v>
      </c>
      <c r="E234" t="s">
        <v>15</v>
      </c>
      <c r="F234" t="s">
        <v>16</v>
      </c>
      <c r="G234">
        <v>1173</v>
      </c>
      <c r="H234">
        <v>1594</v>
      </c>
      <c r="I234">
        <v>28</v>
      </c>
      <c r="J234">
        <v>180</v>
      </c>
      <c r="K234">
        <v>1</v>
      </c>
      <c r="L234" t="s">
        <v>28</v>
      </c>
    </row>
    <row r="235" spans="1:12" x14ac:dyDescent="0.25">
      <c r="A235" t="s">
        <v>255</v>
      </c>
      <c r="B235" t="s">
        <v>25</v>
      </c>
      <c r="C235" t="s">
        <v>16</v>
      </c>
      <c r="D235">
        <v>1</v>
      </c>
      <c r="E235" t="s">
        <v>15</v>
      </c>
      <c r="F235" t="s">
        <v>16</v>
      </c>
      <c r="G235">
        <v>7600</v>
      </c>
      <c r="H235">
        <v>0</v>
      </c>
      <c r="I235">
        <v>92</v>
      </c>
      <c r="J235">
        <v>360</v>
      </c>
      <c r="K235">
        <v>1</v>
      </c>
      <c r="L235" t="s">
        <v>26</v>
      </c>
    </row>
    <row r="236" spans="1:12" x14ac:dyDescent="0.25">
      <c r="A236" t="s">
        <v>256</v>
      </c>
      <c r="B236" t="s">
        <v>25</v>
      </c>
      <c r="C236" t="s">
        <v>14</v>
      </c>
      <c r="D236">
        <v>0</v>
      </c>
      <c r="E236" t="s">
        <v>15</v>
      </c>
      <c r="F236" t="s">
        <v>16</v>
      </c>
      <c r="G236">
        <v>2157</v>
      </c>
      <c r="H236">
        <v>1788</v>
      </c>
      <c r="I236">
        <v>104</v>
      </c>
      <c r="J236">
        <v>360</v>
      </c>
      <c r="K236">
        <v>1</v>
      </c>
      <c r="L236" t="s">
        <v>17</v>
      </c>
    </row>
    <row r="237" spans="1:12" x14ac:dyDescent="0.25">
      <c r="A237" t="s">
        <v>257</v>
      </c>
      <c r="B237" t="s">
        <v>13</v>
      </c>
      <c r="C237" t="s">
        <v>16</v>
      </c>
      <c r="D237">
        <v>0</v>
      </c>
      <c r="E237" t="s">
        <v>15</v>
      </c>
      <c r="F237" t="s">
        <v>16</v>
      </c>
      <c r="G237">
        <v>2231</v>
      </c>
      <c r="H237">
        <v>2774</v>
      </c>
      <c r="I237">
        <v>176</v>
      </c>
      <c r="J237">
        <v>360</v>
      </c>
      <c r="K237">
        <v>0</v>
      </c>
      <c r="L237" t="s">
        <v>17</v>
      </c>
    </row>
    <row r="238" spans="1:12" x14ac:dyDescent="0.25">
      <c r="A238" t="s">
        <v>258</v>
      </c>
      <c r="B238" t="s">
        <v>25</v>
      </c>
      <c r="C238" t="s">
        <v>16</v>
      </c>
      <c r="D238">
        <v>0</v>
      </c>
      <c r="E238" t="s">
        <v>15</v>
      </c>
      <c r="F238" t="s">
        <v>16</v>
      </c>
      <c r="G238">
        <v>2274</v>
      </c>
      <c r="H238">
        <v>5211</v>
      </c>
      <c r="I238">
        <v>117</v>
      </c>
      <c r="J238">
        <v>360</v>
      </c>
      <c r="K238">
        <v>0</v>
      </c>
      <c r="L238" t="s">
        <v>26</v>
      </c>
    </row>
    <row r="239" spans="1:12" x14ac:dyDescent="0.25">
      <c r="A239" t="s">
        <v>259</v>
      </c>
      <c r="B239" t="s">
        <v>13</v>
      </c>
      <c r="C239" t="s">
        <v>14</v>
      </c>
      <c r="D239">
        <v>2</v>
      </c>
      <c r="E239" t="s">
        <v>22</v>
      </c>
      <c r="F239" t="s">
        <v>16</v>
      </c>
      <c r="G239">
        <v>6166</v>
      </c>
      <c r="H239">
        <v>13983</v>
      </c>
      <c r="I239">
        <v>102</v>
      </c>
      <c r="J239">
        <v>360</v>
      </c>
      <c r="K239">
        <v>1</v>
      </c>
      <c r="L239" t="s">
        <v>28</v>
      </c>
    </row>
    <row r="240" spans="1:12" x14ac:dyDescent="0.25">
      <c r="A240" t="s">
        <v>260</v>
      </c>
      <c r="B240" t="s">
        <v>13</v>
      </c>
      <c r="C240" t="s">
        <v>14</v>
      </c>
      <c r="D240">
        <v>2</v>
      </c>
      <c r="E240" t="s">
        <v>22</v>
      </c>
      <c r="F240" t="s">
        <v>16</v>
      </c>
      <c r="G240">
        <v>2513</v>
      </c>
      <c r="H240">
        <v>1110</v>
      </c>
      <c r="I240">
        <v>107</v>
      </c>
      <c r="J240">
        <v>360</v>
      </c>
      <c r="K240">
        <v>1</v>
      </c>
      <c r="L240" t="s">
        <v>26</v>
      </c>
    </row>
    <row r="241" spans="1:12" x14ac:dyDescent="0.25">
      <c r="A241" t="s">
        <v>261</v>
      </c>
      <c r="B241" t="s">
        <v>13</v>
      </c>
      <c r="C241" t="s">
        <v>16</v>
      </c>
      <c r="D241">
        <v>0</v>
      </c>
      <c r="E241" t="s">
        <v>15</v>
      </c>
      <c r="F241" t="s">
        <v>16</v>
      </c>
      <c r="G241">
        <v>4333</v>
      </c>
      <c r="H241">
        <v>0</v>
      </c>
      <c r="I241">
        <v>66</v>
      </c>
      <c r="J241">
        <v>480</v>
      </c>
      <c r="K241">
        <v>1</v>
      </c>
      <c r="L241" t="s">
        <v>17</v>
      </c>
    </row>
    <row r="242" spans="1:12" x14ac:dyDescent="0.25">
      <c r="A242" t="s">
        <v>262</v>
      </c>
      <c r="B242" t="s">
        <v>13</v>
      </c>
      <c r="C242" t="s">
        <v>16</v>
      </c>
      <c r="D242">
        <v>0</v>
      </c>
      <c r="E242" t="s">
        <v>22</v>
      </c>
      <c r="F242" t="s">
        <v>16</v>
      </c>
      <c r="G242">
        <v>3844</v>
      </c>
      <c r="H242">
        <v>0</v>
      </c>
      <c r="I242">
        <v>105</v>
      </c>
      <c r="J242">
        <v>360</v>
      </c>
      <c r="K242">
        <v>1</v>
      </c>
      <c r="L242" t="s">
        <v>17</v>
      </c>
    </row>
    <row r="243" spans="1:12" x14ac:dyDescent="0.25">
      <c r="A243" t="s">
        <v>263</v>
      </c>
      <c r="B243" t="s">
        <v>13</v>
      </c>
      <c r="C243" t="s">
        <v>14</v>
      </c>
      <c r="D243">
        <v>0</v>
      </c>
      <c r="E243" t="s">
        <v>15</v>
      </c>
      <c r="F243" t="s">
        <v>16</v>
      </c>
      <c r="G243">
        <v>3887</v>
      </c>
      <c r="H243">
        <v>1517</v>
      </c>
      <c r="I243">
        <v>105</v>
      </c>
      <c r="J243">
        <v>360</v>
      </c>
      <c r="K243">
        <v>0</v>
      </c>
      <c r="L243" t="s">
        <v>26</v>
      </c>
    </row>
    <row r="244" spans="1:12" x14ac:dyDescent="0.25">
      <c r="A244" t="s">
        <v>264</v>
      </c>
      <c r="B244" t="s">
        <v>13</v>
      </c>
      <c r="C244" t="s">
        <v>14</v>
      </c>
      <c r="D244">
        <v>0</v>
      </c>
      <c r="E244" t="s">
        <v>15</v>
      </c>
      <c r="F244" t="s">
        <v>16</v>
      </c>
      <c r="G244">
        <v>3510</v>
      </c>
      <c r="H244">
        <v>828</v>
      </c>
      <c r="I244">
        <v>105</v>
      </c>
      <c r="J244">
        <v>360</v>
      </c>
      <c r="K244">
        <v>1</v>
      </c>
      <c r="L244" t="s">
        <v>26</v>
      </c>
    </row>
    <row r="245" spans="1:12" x14ac:dyDescent="0.25">
      <c r="A245" t="s">
        <v>265</v>
      </c>
      <c r="B245" t="s">
        <v>13</v>
      </c>
      <c r="C245" t="s">
        <v>14</v>
      </c>
      <c r="D245">
        <v>0</v>
      </c>
      <c r="E245" t="s">
        <v>15</v>
      </c>
      <c r="G245">
        <v>2539</v>
      </c>
      <c r="H245">
        <v>1704</v>
      </c>
      <c r="I245">
        <v>125</v>
      </c>
      <c r="J245">
        <v>360</v>
      </c>
      <c r="K245">
        <v>0</v>
      </c>
      <c r="L245" t="s">
        <v>28</v>
      </c>
    </row>
    <row r="246" spans="1:12" x14ac:dyDescent="0.25">
      <c r="A246" t="s">
        <v>266</v>
      </c>
      <c r="B246" t="s">
        <v>25</v>
      </c>
      <c r="C246" t="s">
        <v>16</v>
      </c>
      <c r="D246">
        <v>0</v>
      </c>
      <c r="E246" t="s">
        <v>22</v>
      </c>
      <c r="F246" t="s">
        <v>16</v>
      </c>
      <c r="G246">
        <v>2107</v>
      </c>
      <c r="H246">
        <v>0</v>
      </c>
      <c r="I246">
        <v>64</v>
      </c>
      <c r="J246">
        <v>360</v>
      </c>
      <c r="K246">
        <v>1</v>
      </c>
      <c r="L246" t="s">
        <v>26</v>
      </c>
    </row>
    <row r="247" spans="1:12" x14ac:dyDescent="0.25">
      <c r="A247" t="s">
        <v>267</v>
      </c>
      <c r="C247" t="s">
        <v>14</v>
      </c>
      <c r="D247">
        <v>0</v>
      </c>
      <c r="E247" t="s">
        <v>15</v>
      </c>
      <c r="F247" t="s">
        <v>16</v>
      </c>
      <c r="G247">
        <v>3186</v>
      </c>
      <c r="H247">
        <v>3145</v>
      </c>
      <c r="I247">
        <v>150</v>
      </c>
      <c r="J247">
        <v>180</v>
      </c>
      <c r="K247">
        <v>0</v>
      </c>
      <c r="L247" t="s">
        <v>26</v>
      </c>
    </row>
    <row r="248" spans="1:12" x14ac:dyDescent="0.25">
      <c r="A248" t="s">
        <v>268</v>
      </c>
      <c r="B248" t="s">
        <v>13</v>
      </c>
      <c r="C248" t="s">
        <v>14</v>
      </c>
      <c r="D248">
        <v>2</v>
      </c>
      <c r="E248" t="s">
        <v>15</v>
      </c>
      <c r="F248" t="s">
        <v>14</v>
      </c>
      <c r="G248">
        <v>5000</v>
      </c>
      <c r="H248">
        <v>2166</v>
      </c>
      <c r="I248">
        <v>150</v>
      </c>
      <c r="J248">
        <v>360</v>
      </c>
      <c r="K248">
        <v>1</v>
      </c>
      <c r="L248" t="s">
        <v>17</v>
      </c>
    </row>
    <row r="249" spans="1:12" x14ac:dyDescent="0.25">
      <c r="A249" t="s">
        <v>269</v>
      </c>
      <c r="B249" t="s">
        <v>13</v>
      </c>
      <c r="C249" t="s">
        <v>14</v>
      </c>
      <c r="E249" t="s">
        <v>15</v>
      </c>
      <c r="F249" t="s">
        <v>16</v>
      </c>
      <c r="G249">
        <v>10000</v>
      </c>
      <c r="H249">
        <v>0</v>
      </c>
      <c r="J249">
        <v>360</v>
      </c>
      <c r="K249">
        <v>1</v>
      </c>
      <c r="L249" t="s">
        <v>17</v>
      </c>
    </row>
    <row r="250" spans="1:12" x14ac:dyDescent="0.25">
      <c r="A250" t="s">
        <v>270</v>
      </c>
      <c r="B250" t="s">
        <v>13</v>
      </c>
      <c r="C250" t="s">
        <v>14</v>
      </c>
      <c r="D250">
        <v>0</v>
      </c>
      <c r="E250" t="s">
        <v>22</v>
      </c>
      <c r="F250" t="s">
        <v>14</v>
      </c>
      <c r="G250">
        <v>3943</v>
      </c>
      <c r="H250">
        <v>0</v>
      </c>
      <c r="I250">
        <v>64</v>
      </c>
      <c r="J250">
        <v>360</v>
      </c>
      <c r="K250">
        <v>1</v>
      </c>
      <c r="L250" t="s">
        <v>26</v>
      </c>
    </row>
    <row r="251" spans="1:12" x14ac:dyDescent="0.25">
      <c r="A251" t="s">
        <v>271</v>
      </c>
      <c r="B251" t="s">
        <v>13</v>
      </c>
      <c r="C251" t="s">
        <v>16</v>
      </c>
      <c r="D251">
        <v>0</v>
      </c>
      <c r="E251" t="s">
        <v>15</v>
      </c>
      <c r="F251" t="s">
        <v>16</v>
      </c>
      <c r="G251">
        <v>2925</v>
      </c>
      <c r="H251">
        <v>0</v>
      </c>
      <c r="I251">
        <v>40</v>
      </c>
      <c r="J251">
        <v>180</v>
      </c>
      <c r="K251">
        <v>1</v>
      </c>
      <c r="L251" t="s">
        <v>28</v>
      </c>
    </row>
    <row r="252" spans="1:12" x14ac:dyDescent="0.25">
      <c r="A252" t="s">
        <v>272</v>
      </c>
      <c r="B252" t="s">
        <v>13</v>
      </c>
      <c r="C252" t="s">
        <v>14</v>
      </c>
      <c r="D252" t="s">
        <v>34</v>
      </c>
      <c r="E252" t="s">
        <v>15</v>
      </c>
      <c r="F252" t="s">
        <v>16</v>
      </c>
      <c r="G252">
        <v>3242</v>
      </c>
      <c r="H252">
        <v>437</v>
      </c>
      <c r="I252">
        <v>142</v>
      </c>
      <c r="J252">
        <v>480</v>
      </c>
      <c r="K252">
        <v>0</v>
      </c>
      <c r="L252" t="s">
        <v>17</v>
      </c>
    </row>
    <row r="253" spans="1:12" x14ac:dyDescent="0.25">
      <c r="A253" t="s">
        <v>273</v>
      </c>
      <c r="B253" t="s">
        <v>13</v>
      </c>
      <c r="C253" t="s">
        <v>14</v>
      </c>
      <c r="E253" t="s">
        <v>15</v>
      </c>
      <c r="F253" t="s">
        <v>16</v>
      </c>
      <c r="G253">
        <v>3863</v>
      </c>
      <c r="H253">
        <v>0</v>
      </c>
      <c r="I253">
        <v>70</v>
      </c>
      <c r="J253">
        <v>300</v>
      </c>
      <c r="K253">
        <v>1</v>
      </c>
      <c r="L253" t="s">
        <v>26</v>
      </c>
    </row>
    <row r="254" spans="1:12" x14ac:dyDescent="0.25">
      <c r="A254" t="s">
        <v>274</v>
      </c>
      <c r="B254" t="s">
        <v>25</v>
      </c>
      <c r="C254" t="s">
        <v>16</v>
      </c>
      <c r="D254">
        <v>1</v>
      </c>
      <c r="E254" t="s">
        <v>15</v>
      </c>
      <c r="F254" t="s">
        <v>16</v>
      </c>
      <c r="G254">
        <v>4028</v>
      </c>
      <c r="H254">
        <v>0</v>
      </c>
      <c r="I254">
        <v>131</v>
      </c>
      <c r="J254">
        <v>360</v>
      </c>
      <c r="K254">
        <v>1</v>
      </c>
      <c r="L254" t="s">
        <v>26</v>
      </c>
    </row>
    <row r="255" spans="1:12" x14ac:dyDescent="0.25">
      <c r="A255" t="s">
        <v>275</v>
      </c>
      <c r="B255" t="s">
        <v>13</v>
      </c>
      <c r="C255" t="s">
        <v>14</v>
      </c>
      <c r="D255">
        <v>2</v>
      </c>
      <c r="E255" t="s">
        <v>15</v>
      </c>
      <c r="F255" t="s">
        <v>16</v>
      </c>
      <c r="G255">
        <v>4010</v>
      </c>
      <c r="H255">
        <v>1025</v>
      </c>
      <c r="I255">
        <v>120</v>
      </c>
      <c r="J255">
        <v>360</v>
      </c>
      <c r="K255">
        <v>1</v>
      </c>
      <c r="L255" t="s">
        <v>17</v>
      </c>
    </row>
    <row r="256" spans="1:12" x14ac:dyDescent="0.25">
      <c r="A256" t="s">
        <v>276</v>
      </c>
      <c r="B256" t="s">
        <v>25</v>
      </c>
      <c r="C256" t="s">
        <v>14</v>
      </c>
      <c r="D256">
        <v>1</v>
      </c>
      <c r="E256" t="s">
        <v>15</v>
      </c>
      <c r="F256" t="s">
        <v>16</v>
      </c>
      <c r="G256">
        <v>3719</v>
      </c>
      <c r="H256">
        <v>1585</v>
      </c>
      <c r="I256">
        <v>114</v>
      </c>
      <c r="J256">
        <v>360</v>
      </c>
      <c r="K256">
        <v>1</v>
      </c>
      <c r="L256" t="s">
        <v>17</v>
      </c>
    </row>
    <row r="257" spans="1:12" x14ac:dyDescent="0.25">
      <c r="A257" t="s">
        <v>277</v>
      </c>
      <c r="B257" t="s">
        <v>13</v>
      </c>
      <c r="C257" t="s">
        <v>16</v>
      </c>
      <c r="D257">
        <v>0</v>
      </c>
      <c r="E257" t="s">
        <v>15</v>
      </c>
      <c r="G257">
        <v>2858</v>
      </c>
      <c r="H257">
        <v>0</v>
      </c>
      <c r="I257">
        <v>123</v>
      </c>
      <c r="J257">
        <v>360</v>
      </c>
      <c r="K257">
        <v>0</v>
      </c>
      <c r="L257" t="s">
        <v>28</v>
      </c>
    </row>
    <row r="258" spans="1:12" x14ac:dyDescent="0.25">
      <c r="A258" t="s">
        <v>278</v>
      </c>
      <c r="B258" t="s">
        <v>25</v>
      </c>
      <c r="C258" t="s">
        <v>14</v>
      </c>
      <c r="D258">
        <v>0</v>
      </c>
      <c r="E258" t="s">
        <v>15</v>
      </c>
      <c r="F258" t="s">
        <v>16</v>
      </c>
      <c r="G258">
        <v>3833</v>
      </c>
      <c r="H258">
        <v>0</v>
      </c>
      <c r="I258">
        <v>92</v>
      </c>
      <c r="J258">
        <v>360</v>
      </c>
      <c r="K258">
        <v>1</v>
      </c>
      <c r="L258" t="s">
        <v>28</v>
      </c>
    </row>
    <row r="259" spans="1:12" x14ac:dyDescent="0.25">
      <c r="A259" t="s">
        <v>279</v>
      </c>
      <c r="B259" t="s">
        <v>13</v>
      </c>
      <c r="C259" t="s">
        <v>14</v>
      </c>
      <c r="D259">
        <v>0</v>
      </c>
      <c r="E259" t="s">
        <v>15</v>
      </c>
      <c r="F259" t="s">
        <v>16</v>
      </c>
      <c r="G259">
        <v>3333</v>
      </c>
      <c r="H259">
        <v>4288</v>
      </c>
      <c r="I259">
        <v>160</v>
      </c>
      <c r="J259">
        <v>360</v>
      </c>
      <c r="K259">
        <v>1</v>
      </c>
      <c r="L259" t="s">
        <v>17</v>
      </c>
    </row>
    <row r="260" spans="1:12" x14ac:dyDescent="0.25">
      <c r="A260" t="s">
        <v>280</v>
      </c>
      <c r="B260" t="s">
        <v>13</v>
      </c>
      <c r="C260" t="s">
        <v>14</v>
      </c>
      <c r="D260">
        <v>0</v>
      </c>
      <c r="E260" t="s">
        <v>15</v>
      </c>
      <c r="F260" t="s">
        <v>16</v>
      </c>
      <c r="G260">
        <v>3007</v>
      </c>
      <c r="H260">
        <v>3725</v>
      </c>
      <c r="I260">
        <v>151</v>
      </c>
      <c r="J260">
        <v>360</v>
      </c>
      <c r="K260">
        <v>1</v>
      </c>
      <c r="L260" t="s">
        <v>28</v>
      </c>
    </row>
    <row r="261" spans="1:12" x14ac:dyDescent="0.25">
      <c r="A261" t="s">
        <v>281</v>
      </c>
      <c r="B261" t="s">
        <v>25</v>
      </c>
      <c r="C261" t="s">
        <v>16</v>
      </c>
      <c r="D261">
        <v>1</v>
      </c>
      <c r="E261" t="s">
        <v>15</v>
      </c>
      <c r="G261">
        <v>1850</v>
      </c>
      <c r="H261">
        <v>4583</v>
      </c>
      <c r="I261">
        <v>81</v>
      </c>
      <c r="J261">
        <v>360</v>
      </c>
      <c r="L261" t="s">
        <v>28</v>
      </c>
    </row>
    <row r="262" spans="1:12" x14ac:dyDescent="0.25">
      <c r="A262" t="s">
        <v>282</v>
      </c>
      <c r="B262" t="s">
        <v>13</v>
      </c>
      <c r="C262" t="s">
        <v>14</v>
      </c>
      <c r="D262" t="s">
        <v>34</v>
      </c>
      <c r="E262" t="s">
        <v>22</v>
      </c>
      <c r="F262" t="s">
        <v>16</v>
      </c>
      <c r="G262">
        <v>2792</v>
      </c>
      <c r="H262">
        <v>2619</v>
      </c>
      <c r="I262">
        <v>171</v>
      </c>
      <c r="J262">
        <v>360</v>
      </c>
      <c r="K262">
        <v>1</v>
      </c>
      <c r="L262" t="s">
        <v>26</v>
      </c>
    </row>
    <row r="263" spans="1:12" x14ac:dyDescent="0.25">
      <c r="A263" t="s">
        <v>283</v>
      </c>
      <c r="B263" t="s">
        <v>13</v>
      </c>
      <c r="C263" t="s">
        <v>14</v>
      </c>
      <c r="D263">
        <v>0</v>
      </c>
      <c r="E263" t="s">
        <v>15</v>
      </c>
      <c r="F263" t="s">
        <v>16</v>
      </c>
      <c r="G263">
        <v>2982</v>
      </c>
      <c r="H263">
        <v>1550</v>
      </c>
      <c r="I263">
        <v>110</v>
      </c>
      <c r="J263">
        <v>360</v>
      </c>
      <c r="K263">
        <v>1</v>
      </c>
      <c r="L263" t="s">
        <v>26</v>
      </c>
    </row>
    <row r="264" spans="1:12" x14ac:dyDescent="0.25">
      <c r="A264" t="s">
        <v>284</v>
      </c>
      <c r="B264" t="s">
        <v>13</v>
      </c>
      <c r="C264" t="s">
        <v>16</v>
      </c>
      <c r="D264">
        <v>0</v>
      </c>
      <c r="E264" t="s">
        <v>15</v>
      </c>
      <c r="F264" t="s">
        <v>16</v>
      </c>
      <c r="G264">
        <v>3417</v>
      </c>
      <c r="H264">
        <v>738</v>
      </c>
      <c r="I264">
        <v>100</v>
      </c>
      <c r="J264">
        <v>360</v>
      </c>
      <c r="L264" t="s">
        <v>28</v>
      </c>
    </row>
    <row r="265" spans="1:12" x14ac:dyDescent="0.25">
      <c r="A265" t="s">
        <v>285</v>
      </c>
      <c r="B265" t="s">
        <v>13</v>
      </c>
      <c r="C265" t="s">
        <v>14</v>
      </c>
      <c r="D265">
        <v>1</v>
      </c>
      <c r="E265" t="s">
        <v>15</v>
      </c>
      <c r="F265" t="s">
        <v>16</v>
      </c>
      <c r="G265">
        <v>18840</v>
      </c>
      <c r="H265">
        <v>0</v>
      </c>
      <c r="I265">
        <v>234</v>
      </c>
      <c r="J265">
        <v>360</v>
      </c>
      <c r="K265">
        <v>1</v>
      </c>
      <c r="L265" t="s">
        <v>28</v>
      </c>
    </row>
    <row r="266" spans="1:12" x14ac:dyDescent="0.25">
      <c r="A266" t="s">
        <v>286</v>
      </c>
      <c r="B266" t="s">
        <v>13</v>
      </c>
      <c r="C266" t="s">
        <v>14</v>
      </c>
      <c r="D266">
        <v>2</v>
      </c>
      <c r="E266" t="s">
        <v>15</v>
      </c>
      <c r="F266" t="s">
        <v>16</v>
      </c>
      <c r="G266">
        <v>2995</v>
      </c>
      <c r="H266">
        <v>1120</v>
      </c>
      <c r="I266">
        <v>184</v>
      </c>
      <c r="J266">
        <v>360</v>
      </c>
      <c r="K266">
        <v>1</v>
      </c>
      <c r="L266" t="s">
        <v>28</v>
      </c>
    </row>
    <row r="267" spans="1:12" x14ac:dyDescent="0.25">
      <c r="A267" t="s">
        <v>287</v>
      </c>
      <c r="B267" t="s">
        <v>13</v>
      </c>
      <c r="C267" t="s">
        <v>16</v>
      </c>
      <c r="E267" t="s">
        <v>15</v>
      </c>
      <c r="F267" t="s">
        <v>16</v>
      </c>
      <c r="G267">
        <v>3579</v>
      </c>
      <c r="H267">
        <v>3308</v>
      </c>
      <c r="I267">
        <v>138</v>
      </c>
      <c r="J267">
        <v>360</v>
      </c>
      <c r="L267" t="s">
        <v>26</v>
      </c>
    </row>
    <row r="268" spans="1:12" x14ac:dyDescent="0.25">
      <c r="A268" t="s">
        <v>288</v>
      </c>
      <c r="B268" t="s">
        <v>25</v>
      </c>
      <c r="C268" t="s">
        <v>14</v>
      </c>
      <c r="D268">
        <v>1</v>
      </c>
      <c r="E268" t="s">
        <v>22</v>
      </c>
      <c r="F268" t="s">
        <v>16</v>
      </c>
      <c r="G268">
        <v>3835</v>
      </c>
      <c r="H268">
        <v>1400</v>
      </c>
      <c r="I268">
        <v>112</v>
      </c>
      <c r="J268">
        <v>480</v>
      </c>
      <c r="K268">
        <v>0</v>
      </c>
      <c r="L268" t="s">
        <v>17</v>
      </c>
    </row>
    <row r="269" spans="1:12" x14ac:dyDescent="0.25">
      <c r="A269" t="s">
        <v>289</v>
      </c>
      <c r="B269" t="s">
        <v>25</v>
      </c>
      <c r="C269" t="s">
        <v>16</v>
      </c>
      <c r="D269">
        <v>1</v>
      </c>
      <c r="E269" t="s">
        <v>22</v>
      </c>
      <c r="F269" t="s">
        <v>16</v>
      </c>
      <c r="G269">
        <v>3854</v>
      </c>
      <c r="H269">
        <v>3575</v>
      </c>
      <c r="I269">
        <v>117</v>
      </c>
      <c r="J269">
        <v>360</v>
      </c>
      <c r="K269">
        <v>1</v>
      </c>
      <c r="L269" t="s">
        <v>28</v>
      </c>
    </row>
    <row r="270" spans="1:12" x14ac:dyDescent="0.25">
      <c r="A270" t="s">
        <v>290</v>
      </c>
      <c r="B270" t="s">
        <v>13</v>
      </c>
      <c r="C270" t="s">
        <v>14</v>
      </c>
      <c r="D270">
        <v>2</v>
      </c>
      <c r="E270" t="s">
        <v>15</v>
      </c>
      <c r="F270" t="s">
        <v>16</v>
      </c>
      <c r="G270">
        <v>5833</v>
      </c>
      <c r="H270">
        <v>750</v>
      </c>
      <c r="I270">
        <v>49</v>
      </c>
      <c r="J270">
        <v>360</v>
      </c>
      <c r="K270">
        <v>0</v>
      </c>
      <c r="L270" t="s">
        <v>28</v>
      </c>
    </row>
    <row r="271" spans="1:12" x14ac:dyDescent="0.25">
      <c r="A271" t="s">
        <v>291</v>
      </c>
      <c r="B271" t="s">
        <v>13</v>
      </c>
      <c r="C271" t="s">
        <v>16</v>
      </c>
      <c r="D271">
        <v>0</v>
      </c>
      <c r="E271" t="s">
        <v>15</v>
      </c>
      <c r="F271" t="s">
        <v>16</v>
      </c>
      <c r="G271">
        <v>3508</v>
      </c>
      <c r="H271">
        <v>0</v>
      </c>
      <c r="I271">
        <v>99</v>
      </c>
      <c r="J271">
        <v>360</v>
      </c>
      <c r="K271">
        <v>1</v>
      </c>
      <c r="L271" t="s">
        <v>28</v>
      </c>
    </row>
    <row r="272" spans="1:12" x14ac:dyDescent="0.25">
      <c r="A272" t="s">
        <v>292</v>
      </c>
      <c r="B272" t="s">
        <v>25</v>
      </c>
      <c r="C272" t="s">
        <v>14</v>
      </c>
      <c r="D272" t="s">
        <v>34</v>
      </c>
      <c r="E272" t="s">
        <v>22</v>
      </c>
      <c r="F272" t="s">
        <v>16</v>
      </c>
      <c r="G272">
        <v>1635</v>
      </c>
      <c r="H272">
        <v>2444</v>
      </c>
      <c r="I272">
        <v>99</v>
      </c>
      <c r="J272">
        <v>360</v>
      </c>
      <c r="K272">
        <v>1</v>
      </c>
      <c r="L272" t="s">
        <v>17</v>
      </c>
    </row>
    <row r="273" spans="1:12" x14ac:dyDescent="0.25">
      <c r="A273" t="s">
        <v>293</v>
      </c>
      <c r="B273" t="s">
        <v>25</v>
      </c>
      <c r="C273" t="s">
        <v>16</v>
      </c>
      <c r="D273">
        <v>0</v>
      </c>
      <c r="E273" t="s">
        <v>15</v>
      </c>
      <c r="F273" t="s">
        <v>14</v>
      </c>
      <c r="G273">
        <v>3333</v>
      </c>
      <c r="H273">
        <v>3916</v>
      </c>
      <c r="I273">
        <v>212</v>
      </c>
      <c r="J273">
        <v>360</v>
      </c>
      <c r="K273">
        <v>1</v>
      </c>
      <c r="L273" t="s">
        <v>28</v>
      </c>
    </row>
    <row r="274" spans="1:12" x14ac:dyDescent="0.25">
      <c r="A274" t="s">
        <v>294</v>
      </c>
      <c r="B274" t="s">
        <v>13</v>
      </c>
      <c r="C274" t="s">
        <v>16</v>
      </c>
      <c r="D274">
        <v>1</v>
      </c>
      <c r="E274" t="s">
        <v>15</v>
      </c>
      <c r="F274" t="s">
        <v>16</v>
      </c>
      <c r="G274">
        <v>24797</v>
      </c>
      <c r="H274">
        <v>0</v>
      </c>
      <c r="I274">
        <v>240</v>
      </c>
      <c r="J274">
        <v>360</v>
      </c>
      <c r="K274">
        <v>1</v>
      </c>
      <c r="L274" t="s">
        <v>26</v>
      </c>
    </row>
    <row r="275" spans="1:12" x14ac:dyDescent="0.25">
      <c r="A275" t="s">
        <v>295</v>
      </c>
      <c r="B275" t="s">
        <v>13</v>
      </c>
      <c r="C275" t="s">
        <v>14</v>
      </c>
      <c r="D275">
        <v>2</v>
      </c>
      <c r="E275" t="s">
        <v>15</v>
      </c>
      <c r="F275" t="s">
        <v>16</v>
      </c>
      <c r="G275">
        <v>5667</v>
      </c>
      <c r="H275">
        <v>440</v>
      </c>
      <c r="I275">
        <v>130</v>
      </c>
      <c r="J275">
        <v>360</v>
      </c>
      <c r="K275">
        <v>0</v>
      </c>
      <c r="L275" t="s">
        <v>26</v>
      </c>
    </row>
    <row r="276" spans="1:12" x14ac:dyDescent="0.25">
      <c r="A276" t="s">
        <v>296</v>
      </c>
      <c r="B276" t="s">
        <v>25</v>
      </c>
      <c r="C276" t="s">
        <v>16</v>
      </c>
      <c r="D276">
        <v>0</v>
      </c>
      <c r="E276" t="s">
        <v>15</v>
      </c>
      <c r="F276" t="s">
        <v>16</v>
      </c>
      <c r="G276">
        <v>3500</v>
      </c>
      <c r="H276">
        <v>0</v>
      </c>
      <c r="I276">
        <v>94</v>
      </c>
      <c r="J276">
        <v>360</v>
      </c>
      <c r="K276">
        <v>0</v>
      </c>
      <c r="L276" t="s">
        <v>26</v>
      </c>
    </row>
    <row r="277" spans="1:12" x14ac:dyDescent="0.25">
      <c r="A277" t="s">
        <v>297</v>
      </c>
      <c r="B277" t="s">
        <v>13</v>
      </c>
      <c r="C277" t="s">
        <v>14</v>
      </c>
      <c r="D277" t="s">
        <v>34</v>
      </c>
      <c r="E277" t="s">
        <v>15</v>
      </c>
      <c r="F277" t="s">
        <v>16</v>
      </c>
      <c r="G277">
        <v>2773</v>
      </c>
      <c r="H277">
        <v>1497</v>
      </c>
      <c r="I277">
        <v>108</v>
      </c>
      <c r="J277">
        <v>360</v>
      </c>
      <c r="K277">
        <v>1</v>
      </c>
      <c r="L277" t="s">
        <v>26</v>
      </c>
    </row>
    <row r="278" spans="1:12" x14ac:dyDescent="0.25">
      <c r="A278" t="s">
        <v>298</v>
      </c>
      <c r="B278" t="s">
        <v>13</v>
      </c>
      <c r="C278" t="s">
        <v>14</v>
      </c>
      <c r="D278">
        <v>0</v>
      </c>
      <c r="E278" t="s">
        <v>15</v>
      </c>
      <c r="G278">
        <v>6500</v>
      </c>
      <c r="H278">
        <v>0</v>
      </c>
      <c r="I278">
        <v>144</v>
      </c>
      <c r="J278">
        <v>360</v>
      </c>
      <c r="K278">
        <v>1</v>
      </c>
      <c r="L278" t="s">
        <v>17</v>
      </c>
    </row>
    <row r="279" spans="1:12" x14ac:dyDescent="0.25">
      <c r="A279" t="s">
        <v>299</v>
      </c>
      <c r="B279" t="s">
        <v>25</v>
      </c>
      <c r="C279" t="s">
        <v>16</v>
      </c>
      <c r="D279">
        <v>0</v>
      </c>
      <c r="E279" t="s">
        <v>15</v>
      </c>
      <c r="F279" t="s">
        <v>16</v>
      </c>
      <c r="G279">
        <v>5769</v>
      </c>
      <c r="H279">
        <v>0</v>
      </c>
      <c r="I279">
        <v>110</v>
      </c>
      <c r="J279">
        <v>180</v>
      </c>
      <c r="K279">
        <v>1</v>
      </c>
      <c r="L279" t="s">
        <v>26</v>
      </c>
    </row>
    <row r="280" spans="1:12" x14ac:dyDescent="0.25">
      <c r="A280" t="s">
        <v>300</v>
      </c>
      <c r="B280" t="s">
        <v>13</v>
      </c>
      <c r="C280" t="s">
        <v>14</v>
      </c>
      <c r="D280" t="s">
        <v>34</v>
      </c>
      <c r="E280" t="s">
        <v>22</v>
      </c>
      <c r="G280">
        <v>3634</v>
      </c>
      <c r="H280">
        <v>910</v>
      </c>
      <c r="I280">
        <v>176</v>
      </c>
      <c r="J280">
        <v>360</v>
      </c>
      <c r="K280">
        <v>0</v>
      </c>
      <c r="L280" t="s">
        <v>26</v>
      </c>
    </row>
    <row r="281" spans="1:12" x14ac:dyDescent="0.25">
      <c r="A281" t="s">
        <v>301</v>
      </c>
      <c r="C281" t="s">
        <v>16</v>
      </c>
      <c r="D281">
        <v>0</v>
      </c>
      <c r="E281" t="s">
        <v>15</v>
      </c>
      <c r="F281" t="s">
        <v>16</v>
      </c>
      <c r="G281">
        <v>29167</v>
      </c>
      <c r="H281">
        <v>0</v>
      </c>
      <c r="I281">
        <v>185</v>
      </c>
      <c r="J281">
        <v>360</v>
      </c>
      <c r="K281">
        <v>1</v>
      </c>
      <c r="L281" t="s">
        <v>26</v>
      </c>
    </row>
    <row r="282" spans="1:12" x14ac:dyDescent="0.25">
      <c r="A282" t="s">
        <v>302</v>
      </c>
      <c r="B282" t="s">
        <v>13</v>
      </c>
      <c r="C282" t="s">
        <v>16</v>
      </c>
      <c r="D282">
        <v>0</v>
      </c>
      <c r="E282" t="s">
        <v>15</v>
      </c>
      <c r="F282" t="s">
        <v>16</v>
      </c>
      <c r="G282">
        <v>2166</v>
      </c>
      <c r="H282">
        <v>2057</v>
      </c>
      <c r="I282">
        <v>122</v>
      </c>
      <c r="J282">
        <v>360</v>
      </c>
      <c r="K282">
        <v>1</v>
      </c>
      <c r="L282" t="s">
        <v>26</v>
      </c>
    </row>
    <row r="283" spans="1:12" x14ac:dyDescent="0.25">
      <c r="A283" t="s">
        <v>303</v>
      </c>
      <c r="B283" t="s">
        <v>13</v>
      </c>
      <c r="C283" t="s">
        <v>14</v>
      </c>
      <c r="D283">
        <v>0</v>
      </c>
      <c r="E283" t="s">
        <v>15</v>
      </c>
      <c r="F283" t="s">
        <v>16</v>
      </c>
      <c r="G283">
        <v>5000</v>
      </c>
      <c r="H283">
        <v>0</v>
      </c>
      <c r="I283">
        <v>126</v>
      </c>
      <c r="J283">
        <v>360</v>
      </c>
      <c r="K283">
        <v>1</v>
      </c>
      <c r="L283" t="s">
        <v>28</v>
      </c>
    </row>
    <row r="284" spans="1:12" x14ac:dyDescent="0.25">
      <c r="A284" t="s">
        <v>304</v>
      </c>
      <c r="B284" t="s">
        <v>25</v>
      </c>
      <c r="C284" t="s">
        <v>16</v>
      </c>
      <c r="D284">
        <v>0</v>
      </c>
      <c r="E284" t="s">
        <v>15</v>
      </c>
      <c r="F284" t="s">
        <v>16</v>
      </c>
      <c r="G284">
        <v>5530</v>
      </c>
      <c r="H284">
        <v>0</v>
      </c>
      <c r="I284">
        <v>135</v>
      </c>
      <c r="J284">
        <v>360</v>
      </c>
      <c r="L284" t="s">
        <v>17</v>
      </c>
    </row>
    <row r="285" spans="1:12" x14ac:dyDescent="0.25">
      <c r="A285" t="s">
        <v>305</v>
      </c>
      <c r="B285" t="s">
        <v>13</v>
      </c>
      <c r="C285" t="s">
        <v>16</v>
      </c>
      <c r="D285">
        <v>0</v>
      </c>
      <c r="E285" t="s">
        <v>22</v>
      </c>
      <c r="F285" t="s">
        <v>16</v>
      </c>
      <c r="G285">
        <v>9000</v>
      </c>
      <c r="H285">
        <v>0</v>
      </c>
      <c r="I285">
        <v>122</v>
      </c>
      <c r="J285">
        <v>360</v>
      </c>
      <c r="K285">
        <v>1</v>
      </c>
      <c r="L285" t="s">
        <v>28</v>
      </c>
    </row>
    <row r="286" spans="1:12" x14ac:dyDescent="0.25">
      <c r="A286" t="s">
        <v>306</v>
      </c>
      <c r="B286" t="s">
        <v>25</v>
      </c>
      <c r="C286" t="s">
        <v>14</v>
      </c>
      <c r="D286">
        <v>2</v>
      </c>
      <c r="E286" t="s">
        <v>15</v>
      </c>
      <c r="F286" t="s">
        <v>16</v>
      </c>
      <c r="G286">
        <v>10000</v>
      </c>
      <c r="H286">
        <v>11666</v>
      </c>
      <c r="I286">
        <v>460</v>
      </c>
      <c r="J286">
        <v>360</v>
      </c>
      <c r="K286">
        <v>1</v>
      </c>
      <c r="L286" t="s">
        <v>17</v>
      </c>
    </row>
    <row r="287" spans="1:12" x14ac:dyDescent="0.25">
      <c r="A287" t="s">
        <v>307</v>
      </c>
      <c r="B287" t="s">
        <v>13</v>
      </c>
      <c r="C287" t="s">
        <v>14</v>
      </c>
      <c r="D287">
        <v>1</v>
      </c>
      <c r="E287" t="s">
        <v>15</v>
      </c>
      <c r="G287">
        <v>8750</v>
      </c>
      <c r="H287">
        <v>0</v>
      </c>
      <c r="I287">
        <v>297</v>
      </c>
      <c r="J287">
        <v>360</v>
      </c>
      <c r="K287">
        <v>1</v>
      </c>
      <c r="L287" t="s">
        <v>17</v>
      </c>
    </row>
    <row r="288" spans="1:12" x14ac:dyDescent="0.25">
      <c r="A288" t="s">
        <v>308</v>
      </c>
      <c r="B288" t="s">
        <v>13</v>
      </c>
      <c r="C288" t="s">
        <v>14</v>
      </c>
      <c r="D288">
        <v>0</v>
      </c>
      <c r="E288" t="s">
        <v>22</v>
      </c>
      <c r="F288" t="s">
        <v>16</v>
      </c>
      <c r="G288">
        <v>2157</v>
      </c>
      <c r="H288">
        <v>2730</v>
      </c>
      <c r="I288">
        <v>140</v>
      </c>
      <c r="J288">
        <v>360</v>
      </c>
      <c r="L288" t="s">
        <v>28</v>
      </c>
    </row>
    <row r="289" spans="1:12" x14ac:dyDescent="0.25">
      <c r="A289" t="s">
        <v>309</v>
      </c>
      <c r="B289" t="s">
        <v>13</v>
      </c>
      <c r="C289" t="s">
        <v>16</v>
      </c>
      <c r="D289">
        <v>0</v>
      </c>
      <c r="E289" t="s">
        <v>15</v>
      </c>
      <c r="G289">
        <v>1972</v>
      </c>
      <c r="H289">
        <v>4347</v>
      </c>
      <c r="I289">
        <v>106</v>
      </c>
      <c r="J289">
        <v>360</v>
      </c>
      <c r="K289">
        <v>1</v>
      </c>
      <c r="L289" t="s">
        <v>28</v>
      </c>
    </row>
    <row r="290" spans="1:12" x14ac:dyDescent="0.25">
      <c r="A290" t="s">
        <v>310</v>
      </c>
      <c r="B290" t="s">
        <v>13</v>
      </c>
      <c r="C290" t="s">
        <v>16</v>
      </c>
      <c r="D290">
        <v>0</v>
      </c>
      <c r="E290" t="s">
        <v>15</v>
      </c>
      <c r="F290" t="s">
        <v>16</v>
      </c>
      <c r="G290">
        <v>4983</v>
      </c>
      <c r="H290">
        <v>0</v>
      </c>
      <c r="I290">
        <v>141</v>
      </c>
      <c r="J290">
        <v>360</v>
      </c>
      <c r="K290">
        <v>1</v>
      </c>
      <c r="L290" t="s">
        <v>17</v>
      </c>
    </row>
    <row r="291" spans="1:12" x14ac:dyDescent="0.25">
      <c r="A291" t="s">
        <v>311</v>
      </c>
      <c r="B291" t="s">
        <v>13</v>
      </c>
      <c r="C291" t="s">
        <v>14</v>
      </c>
      <c r="D291">
        <v>1</v>
      </c>
      <c r="E291" t="s">
        <v>15</v>
      </c>
      <c r="F291" t="s">
        <v>16</v>
      </c>
      <c r="G291">
        <v>8333</v>
      </c>
      <c r="H291">
        <v>4000</v>
      </c>
      <c r="J291">
        <v>360</v>
      </c>
      <c r="K291">
        <v>1</v>
      </c>
      <c r="L291" t="s">
        <v>17</v>
      </c>
    </row>
    <row r="292" spans="1:12" x14ac:dyDescent="0.25">
      <c r="A292" t="s">
        <v>312</v>
      </c>
      <c r="B292" t="s">
        <v>13</v>
      </c>
      <c r="C292" t="s">
        <v>14</v>
      </c>
      <c r="D292">
        <v>0</v>
      </c>
      <c r="E292" t="s">
        <v>15</v>
      </c>
      <c r="F292" t="s">
        <v>16</v>
      </c>
      <c r="G292">
        <v>3667</v>
      </c>
      <c r="H292">
        <v>2000</v>
      </c>
      <c r="I292">
        <v>170</v>
      </c>
      <c r="J292">
        <v>360</v>
      </c>
      <c r="K292">
        <v>1</v>
      </c>
      <c r="L292" t="s">
        <v>26</v>
      </c>
    </row>
    <row r="293" spans="1:12" x14ac:dyDescent="0.25">
      <c r="A293" t="s">
        <v>313</v>
      </c>
      <c r="B293" t="s">
        <v>13</v>
      </c>
      <c r="C293" t="s">
        <v>14</v>
      </c>
      <c r="D293">
        <v>2</v>
      </c>
      <c r="E293" t="s">
        <v>15</v>
      </c>
      <c r="F293" t="s">
        <v>16</v>
      </c>
      <c r="G293">
        <v>3166</v>
      </c>
      <c r="H293">
        <v>2833</v>
      </c>
      <c r="I293">
        <v>145</v>
      </c>
      <c r="J293">
        <v>360</v>
      </c>
      <c r="K293">
        <v>1</v>
      </c>
      <c r="L293" t="s">
        <v>17</v>
      </c>
    </row>
    <row r="294" spans="1:12" x14ac:dyDescent="0.25">
      <c r="A294" t="s">
        <v>314</v>
      </c>
      <c r="B294" t="s">
        <v>13</v>
      </c>
      <c r="C294" t="s">
        <v>16</v>
      </c>
      <c r="D294">
        <v>0</v>
      </c>
      <c r="E294" t="s">
        <v>22</v>
      </c>
      <c r="F294" t="s">
        <v>16</v>
      </c>
      <c r="G294">
        <v>3271</v>
      </c>
      <c r="H294">
        <v>0</v>
      </c>
      <c r="I294">
        <v>90</v>
      </c>
      <c r="J294">
        <v>360</v>
      </c>
      <c r="K294">
        <v>1</v>
      </c>
      <c r="L294" t="s">
        <v>28</v>
      </c>
    </row>
    <row r="295" spans="1:12" x14ac:dyDescent="0.25">
      <c r="A295" t="s">
        <v>315</v>
      </c>
      <c r="B295" t="s">
        <v>25</v>
      </c>
      <c r="C295" t="s">
        <v>14</v>
      </c>
      <c r="D295">
        <v>0</v>
      </c>
      <c r="E295" t="s">
        <v>15</v>
      </c>
      <c r="F295" t="s">
        <v>16</v>
      </c>
      <c r="G295">
        <v>2241</v>
      </c>
      <c r="H295">
        <v>2000</v>
      </c>
      <c r="I295">
        <v>88</v>
      </c>
      <c r="J295">
        <v>360</v>
      </c>
      <c r="K295">
        <v>0</v>
      </c>
      <c r="L295" t="s">
        <v>17</v>
      </c>
    </row>
    <row r="296" spans="1:12" x14ac:dyDescent="0.25">
      <c r="A296" t="s">
        <v>316</v>
      </c>
      <c r="B296" t="s">
        <v>13</v>
      </c>
      <c r="C296" t="s">
        <v>14</v>
      </c>
      <c r="D296">
        <v>1</v>
      </c>
      <c r="E296" t="s">
        <v>22</v>
      </c>
      <c r="G296">
        <v>1792</v>
      </c>
      <c r="H296">
        <v>2565</v>
      </c>
      <c r="I296">
        <v>128</v>
      </c>
      <c r="J296">
        <v>360</v>
      </c>
      <c r="K296">
        <v>1</v>
      </c>
      <c r="L296" t="s">
        <v>17</v>
      </c>
    </row>
    <row r="297" spans="1:12" x14ac:dyDescent="0.25">
      <c r="A297" t="s">
        <v>317</v>
      </c>
      <c r="B297" t="s">
        <v>25</v>
      </c>
      <c r="C297" t="s">
        <v>14</v>
      </c>
      <c r="D297">
        <v>0</v>
      </c>
      <c r="E297" t="s">
        <v>15</v>
      </c>
      <c r="F297" t="s">
        <v>16</v>
      </c>
      <c r="G297">
        <v>2666</v>
      </c>
      <c r="H297">
        <v>0</v>
      </c>
      <c r="I297">
        <v>84</v>
      </c>
      <c r="J297">
        <v>480</v>
      </c>
      <c r="K297">
        <v>1</v>
      </c>
      <c r="L297" t="s">
        <v>26</v>
      </c>
    </row>
    <row r="298" spans="1:12" x14ac:dyDescent="0.25">
      <c r="A298" t="s">
        <v>318</v>
      </c>
      <c r="C298" t="s">
        <v>16</v>
      </c>
      <c r="D298">
        <v>0</v>
      </c>
      <c r="E298" t="s">
        <v>15</v>
      </c>
      <c r="F298" t="s">
        <v>16</v>
      </c>
      <c r="G298">
        <v>6478</v>
      </c>
      <c r="H298">
        <v>0</v>
      </c>
      <c r="I298">
        <v>108</v>
      </c>
      <c r="J298">
        <v>360</v>
      </c>
      <c r="K298">
        <v>1</v>
      </c>
      <c r="L298" t="s">
        <v>26</v>
      </c>
    </row>
    <row r="299" spans="1:12" x14ac:dyDescent="0.25">
      <c r="A299" t="s">
        <v>319</v>
      </c>
      <c r="B299" t="s">
        <v>13</v>
      </c>
      <c r="C299" t="s">
        <v>16</v>
      </c>
      <c r="D299">
        <v>0</v>
      </c>
      <c r="E299" t="s">
        <v>22</v>
      </c>
      <c r="G299">
        <v>3808</v>
      </c>
      <c r="H299">
        <v>0</v>
      </c>
      <c r="I299">
        <v>83</v>
      </c>
      <c r="J299">
        <v>360</v>
      </c>
      <c r="K299">
        <v>1</v>
      </c>
      <c r="L299" t="s">
        <v>28</v>
      </c>
    </row>
    <row r="300" spans="1:12" x14ac:dyDescent="0.25">
      <c r="A300" t="s">
        <v>320</v>
      </c>
      <c r="B300" t="s">
        <v>25</v>
      </c>
      <c r="C300" t="s">
        <v>14</v>
      </c>
      <c r="D300">
        <v>2</v>
      </c>
      <c r="E300" t="s">
        <v>22</v>
      </c>
      <c r="F300" t="s">
        <v>16</v>
      </c>
      <c r="G300">
        <v>3729</v>
      </c>
      <c r="H300">
        <v>0</v>
      </c>
      <c r="I300">
        <v>117</v>
      </c>
      <c r="J300">
        <v>360</v>
      </c>
      <c r="K300">
        <v>1</v>
      </c>
      <c r="L300" t="s">
        <v>26</v>
      </c>
    </row>
    <row r="301" spans="1:12" x14ac:dyDescent="0.25">
      <c r="A301" t="s">
        <v>321</v>
      </c>
      <c r="B301" t="s">
        <v>13</v>
      </c>
      <c r="C301" t="s">
        <v>14</v>
      </c>
      <c r="D301">
        <v>2</v>
      </c>
      <c r="E301" t="s">
        <v>15</v>
      </c>
      <c r="F301" t="s">
        <v>16</v>
      </c>
      <c r="G301">
        <v>4120</v>
      </c>
      <c r="H301">
        <v>0</v>
      </c>
      <c r="I301">
        <v>128</v>
      </c>
      <c r="J301">
        <v>360</v>
      </c>
      <c r="K301">
        <v>1</v>
      </c>
      <c r="L301" t="s">
        <v>28</v>
      </c>
    </row>
    <row r="302" spans="1:12" x14ac:dyDescent="0.25">
      <c r="A302" t="s">
        <v>322</v>
      </c>
      <c r="B302" t="s">
        <v>13</v>
      </c>
      <c r="C302" t="s">
        <v>14</v>
      </c>
      <c r="D302">
        <v>1</v>
      </c>
      <c r="E302" t="s">
        <v>15</v>
      </c>
      <c r="F302" t="s">
        <v>14</v>
      </c>
      <c r="G302">
        <v>7500</v>
      </c>
      <c r="H302">
        <v>0</v>
      </c>
      <c r="I302">
        <v>75</v>
      </c>
      <c r="J302">
        <v>360</v>
      </c>
      <c r="K302">
        <v>1</v>
      </c>
      <c r="L302" t="s">
        <v>17</v>
      </c>
    </row>
    <row r="303" spans="1:12" x14ac:dyDescent="0.25">
      <c r="A303" t="s">
        <v>323</v>
      </c>
      <c r="B303" t="s">
        <v>13</v>
      </c>
      <c r="C303" t="s">
        <v>14</v>
      </c>
      <c r="D303">
        <v>1</v>
      </c>
      <c r="E303" t="s">
        <v>15</v>
      </c>
      <c r="G303">
        <v>6300</v>
      </c>
      <c r="H303">
        <v>0</v>
      </c>
      <c r="I303">
        <v>125</v>
      </c>
      <c r="J303">
        <v>360</v>
      </c>
      <c r="K303">
        <v>0</v>
      </c>
      <c r="L303" t="s">
        <v>17</v>
      </c>
    </row>
    <row r="304" spans="1:12" x14ac:dyDescent="0.25">
      <c r="A304" t="s">
        <v>324</v>
      </c>
      <c r="B304" t="s">
        <v>25</v>
      </c>
      <c r="C304" t="s">
        <v>16</v>
      </c>
      <c r="E304" t="s">
        <v>15</v>
      </c>
      <c r="F304" t="s">
        <v>14</v>
      </c>
      <c r="G304">
        <v>14987</v>
      </c>
      <c r="H304">
        <v>0</v>
      </c>
      <c r="I304">
        <v>177</v>
      </c>
      <c r="J304">
        <v>360</v>
      </c>
      <c r="K304">
        <v>1</v>
      </c>
      <c r="L304" t="s">
        <v>28</v>
      </c>
    </row>
    <row r="305" spans="1:12" x14ac:dyDescent="0.25">
      <c r="A305" t="s">
        <v>325</v>
      </c>
      <c r="C305" t="s">
        <v>14</v>
      </c>
      <c r="D305">
        <v>1</v>
      </c>
      <c r="E305" t="s">
        <v>22</v>
      </c>
      <c r="F305" t="s">
        <v>14</v>
      </c>
      <c r="G305">
        <v>570</v>
      </c>
      <c r="H305">
        <v>2125</v>
      </c>
      <c r="I305">
        <v>68</v>
      </c>
      <c r="J305">
        <v>360</v>
      </c>
      <c r="K305">
        <v>1</v>
      </c>
      <c r="L305" t="s">
        <v>28</v>
      </c>
    </row>
    <row r="306" spans="1:12" x14ac:dyDescent="0.25">
      <c r="A306" t="s">
        <v>326</v>
      </c>
      <c r="B306" t="s">
        <v>13</v>
      </c>
      <c r="C306" t="s">
        <v>14</v>
      </c>
      <c r="D306">
        <v>0</v>
      </c>
      <c r="E306" t="s">
        <v>15</v>
      </c>
      <c r="F306" t="s">
        <v>16</v>
      </c>
      <c r="G306">
        <v>2600</v>
      </c>
      <c r="H306">
        <v>700</v>
      </c>
      <c r="I306">
        <v>96</v>
      </c>
      <c r="J306">
        <v>360</v>
      </c>
      <c r="K306">
        <v>1</v>
      </c>
      <c r="L306" t="s">
        <v>26</v>
      </c>
    </row>
    <row r="307" spans="1:12" x14ac:dyDescent="0.25">
      <c r="A307" t="s">
        <v>327</v>
      </c>
      <c r="B307" t="s">
        <v>13</v>
      </c>
      <c r="C307" t="s">
        <v>16</v>
      </c>
      <c r="D307">
        <v>2</v>
      </c>
      <c r="E307" t="s">
        <v>22</v>
      </c>
      <c r="F307" t="s">
        <v>16</v>
      </c>
      <c r="G307">
        <v>2733</v>
      </c>
      <c r="H307">
        <v>1083</v>
      </c>
      <c r="I307">
        <v>180</v>
      </c>
      <c r="J307">
        <v>360</v>
      </c>
      <c r="L307" t="s">
        <v>26</v>
      </c>
    </row>
    <row r="308" spans="1:12" x14ac:dyDescent="0.25">
      <c r="A308" t="s">
        <v>328</v>
      </c>
      <c r="B308" t="s">
        <v>13</v>
      </c>
      <c r="C308" t="s">
        <v>14</v>
      </c>
      <c r="D308">
        <v>2</v>
      </c>
      <c r="E308" t="s">
        <v>15</v>
      </c>
      <c r="F308" t="s">
        <v>14</v>
      </c>
      <c r="G308">
        <v>7500</v>
      </c>
      <c r="H308">
        <v>0</v>
      </c>
      <c r="I308">
        <v>183</v>
      </c>
      <c r="J308">
        <v>360</v>
      </c>
      <c r="K308">
        <v>1</v>
      </c>
      <c r="L308" t="s">
        <v>28</v>
      </c>
    </row>
    <row r="309" spans="1:12" x14ac:dyDescent="0.25">
      <c r="A309" t="s">
        <v>329</v>
      </c>
      <c r="B309" t="s">
        <v>13</v>
      </c>
      <c r="C309" t="s">
        <v>14</v>
      </c>
      <c r="D309">
        <v>2</v>
      </c>
      <c r="E309" t="s">
        <v>22</v>
      </c>
      <c r="F309" t="s">
        <v>16</v>
      </c>
      <c r="G309">
        <v>3859</v>
      </c>
      <c r="H309">
        <v>0</v>
      </c>
      <c r="I309">
        <v>121</v>
      </c>
      <c r="J309">
        <v>360</v>
      </c>
      <c r="K309">
        <v>1</v>
      </c>
      <c r="L309" t="s">
        <v>28</v>
      </c>
    </row>
    <row r="310" spans="1:12" x14ac:dyDescent="0.25">
      <c r="A310" t="s">
        <v>330</v>
      </c>
      <c r="B310" t="s">
        <v>13</v>
      </c>
      <c r="C310" t="s">
        <v>14</v>
      </c>
      <c r="D310">
        <v>1</v>
      </c>
      <c r="E310" t="s">
        <v>15</v>
      </c>
      <c r="F310" t="s">
        <v>16</v>
      </c>
      <c r="G310">
        <v>6825</v>
      </c>
      <c r="H310">
        <v>0</v>
      </c>
      <c r="I310">
        <v>162</v>
      </c>
      <c r="J310">
        <v>360</v>
      </c>
      <c r="K310">
        <v>1</v>
      </c>
      <c r="L310" t="s">
        <v>28</v>
      </c>
    </row>
    <row r="311" spans="1:12" x14ac:dyDescent="0.25">
      <c r="A311" t="s">
        <v>331</v>
      </c>
      <c r="B311" t="s">
        <v>13</v>
      </c>
      <c r="C311" t="s">
        <v>14</v>
      </c>
      <c r="D311">
        <v>0</v>
      </c>
      <c r="E311" t="s">
        <v>15</v>
      </c>
      <c r="F311" t="s">
        <v>16</v>
      </c>
      <c r="G311">
        <v>3708</v>
      </c>
      <c r="H311">
        <v>4700</v>
      </c>
      <c r="I311">
        <v>132</v>
      </c>
      <c r="J311">
        <v>360</v>
      </c>
      <c r="K311">
        <v>1</v>
      </c>
      <c r="L311" t="s">
        <v>26</v>
      </c>
    </row>
    <row r="312" spans="1:12" x14ac:dyDescent="0.25">
      <c r="A312" t="s">
        <v>332</v>
      </c>
      <c r="B312" t="s">
        <v>13</v>
      </c>
      <c r="C312" t="s">
        <v>16</v>
      </c>
      <c r="D312">
        <v>0</v>
      </c>
      <c r="E312" t="s">
        <v>15</v>
      </c>
      <c r="F312" t="s">
        <v>16</v>
      </c>
      <c r="G312">
        <v>5314</v>
      </c>
      <c r="H312">
        <v>0</v>
      </c>
      <c r="I312">
        <v>147</v>
      </c>
      <c r="J312">
        <v>360</v>
      </c>
      <c r="K312">
        <v>1</v>
      </c>
      <c r="L312" t="s">
        <v>17</v>
      </c>
    </row>
    <row r="313" spans="1:12" x14ac:dyDescent="0.25">
      <c r="A313" t="s">
        <v>333</v>
      </c>
      <c r="B313" t="s">
        <v>25</v>
      </c>
      <c r="C313" t="s">
        <v>16</v>
      </c>
      <c r="D313" t="s">
        <v>34</v>
      </c>
      <c r="E313" t="s">
        <v>15</v>
      </c>
      <c r="F313" t="s">
        <v>16</v>
      </c>
      <c r="G313">
        <v>2366</v>
      </c>
      <c r="H313">
        <v>5272</v>
      </c>
      <c r="I313">
        <v>153</v>
      </c>
      <c r="J313">
        <v>360</v>
      </c>
      <c r="K313">
        <v>0</v>
      </c>
      <c r="L313" t="s">
        <v>28</v>
      </c>
    </row>
    <row r="314" spans="1:12" x14ac:dyDescent="0.25">
      <c r="A314" t="s">
        <v>334</v>
      </c>
      <c r="B314" t="s">
        <v>13</v>
      </c>
      <c r="C314" t="s">
        <v>16</v>
      </c>
      <c r="E314" t="s">
        <v>15</v>
      </c>
      <c r="F314" t="s">
        <v>16</v>
      </c>
      <c r="G314">
        <v>2066</v>
      </c>
      <c r="H314">
        <v>2108</v>
      </c>
      <c r="I314">
        <v>104</v>
      </c>
      <c r="J314">
        <v>84</v>
      </c>
      <c r="K314">
        <v>1</v>
      </c>
      <c r="L314" t="s">
        <v>17</v>
      </c>
    </row>
    <row r="315" spans="1:12" x14ac:dyDescent="0.25">
      <c r="A315" t="s">
        <v>335</v>
      </c>
      <c r="B315" t="s">
        <v>13</v>
      </c>
      <c r="C315" t="s">
        <v>14</v>
      </c>
      <c r="D315">
        <v>2</v>
      </c>
      <c r="E315" t="s">
        <v>15</v>
      </c>
      <c r="F315" t="s">
        <v>16</v>
      </c>
      <c r="G315">
        <v>5000</v>
      </c>
      <c r="H315">
        <v>0</v>
      </c>
      <c r="I315">
        <v>149</v>
      </c>
      <c r="J315">
        <v>360</v>
      </c>
      <c r="K315">
        <v>1</v>
      </c>
      <c r="L315" t="s">
        <v>28</v>
      </c>
    </row>
    <row r="316" spans="1:12" x14ac:dyDescent="0.25">
      <c r="A316" t="s">
        <v>336</v>
      </c>
      <c r="B316" t="s">
        <v>25</v>
      </c>
      <c r="C316" t="s">
        <v>16</v>
      </c>
      <c r="D316">
        <v>0</v>
      </c>
      <c r="E316" t="s">
        <v>15</v>
      </c>
      <c r="F316" t="s">
        <v>16</v>
      </c>
      <c r="G316">
        <v>3767</v>
      </c>
      <c r="H316">
        <v>0</v>
      </c>
      <c r="I316">
        <v>134</v>
      </c>
      <c r="J316">
        <v>300</v>
      </c>
      <c r="K316">
        <v>1</v>
      </c>
      <c r="L316" t="s">
        <v>17</v>
      </c>
    </row>
    <row r="317" spans="1:12" x14ac:dyDescent="0.25">
      <c r="A317" t="s">
        <v>337</v>
      </c>
      <c r="B317" t="s">
        <v>25</v>
      </c>
      <c r="C317" t="s">
        <v>14</v>
      </c>
      <c r="D317">
        <v>0</v>
      </c>
      <c r="E317" t="s">
        <v>15</v>
      </c>
      <c r="F317" t="s">
        <v>16</v>
      </c>
      <c r="G317">
        <v>7859</v>
      </c>
      <c r="H317">
        <v>879</v>
      </c>
      <c r="I317">
        <v>165</v>
      </c>
      <c r="J317">
        <v>180</v>
      </c>
      <c r="K317">
        <v>1</v>
      </c>
      <c r="L317" t="s">
        <v>26</v>
      </c>
    </row>
    <row r="318" spans="1:12" x14ac:dyDescent="0.25">
      <c r="A318" t="s">
        <v>338</v>
      </c>
      <c r="B318" t="s">
        <v>25</v>
      </c>
      <c r="C318" t="s">
        <v>14</v>
      </c>
      <c r="D318">
        <v>0</v>
      </c>
      <c r="E318" t="s">
        <v>15</v>
      </c>
      <c r="F318" t="s">
        <v>16</v>
      </c>
      <c r="G318">
        <v>4283</v>
      </c>
      <c r="H318">
        <v>0</v>
      </c>
      <c r="I318">
        <v>120</v>
      </c>
      <c r="J318">
        <v>360</v>
      </c>
      <c r="K318">
        <v>1</v>
      </c>
      <c r="L318" t="s">
        <v>28</v>
      </c>
    </row>
    <row r="319" spans="1:12" x14ac:dyDescent="0.25">
      <c r="A319" t="s">
        <v>339</v>
      </c>
      <c r="B319" t="s">
        <v>13</v>
      </c>
      <c r="C319" t="s">
        <v>14</v>
      </c>
      <c r="D319">
        <v>0</v>
      </c>
      <c r="E319" t="s">
        <v>22</v>
      </c>
      <c r="F319" t="s">
        <v>16</v>
      </c>
      <c r="G319">
        <v>1700</v>
      </c>
      <c r="H319">
        <v>2900</v>
      </c>
      <c r="I319">
        <v>67</v>
      </c>
      <c r="J319">
        <v>360</v>
      </c>
      <c r="K319">
        <v>0</v>
      </c>
      <c r="L319" t="s">
        <v>17</v>
      </c>
    </row>
    <row r="320" spans="1:12" x14ac:dyDescent="0.25">
      <c r="A320" t="s">
        <v>340</v>
      </c>
      <c r="C320" t="s">
        <v>16</v>
      </c>
      <c r="D320">
        <v>0</v>
      </c>
      <c r="E320" t="s">
        <v>22</v>
      </c>
      <c r="F320" t="s">
        <v>16</v>
      </c>
      <c r="G320">
        <v>4768</v>
      </c>
      <c r="H320">
        <v>0</v>
      </c>
      <c r="I320">
        <v>125</v>
      </c>
      <c r="J320">
        <v>360</v>
      </c>
      <c r="K320">
        <v>1</v>
      </c>
      <c r="L320" t="s">
        <v>28</v>
      </c>
    </row>
    <row r="321" spans="1:12" x14ac:dyDescent="0.25">
      <c r="A321" t="s">
        <v>341</v>
      </c>
      <c r="B321" t="s">
        <v>13</v>
      </c>
      <c r="C321" t="s">
        <v>16</v>
      </c>
      <c r="D321">
        <v>0</v>
      </c>
      <c r="E321" t="s">
        <v>15</v>
      </c>
      <c r="F321" t="s">
        <v>16</v>
      </c>
      <c r="G321">
        <v>3083</v>
      </c>
      <c r="H321">
        <v>2738</v>
      </c>
      <c r="I321">
        <v>120</v>
      </c>
      <c r="J321">
        <v>360</v>
      </c>
      <c r="K321">
        <v>1</v>
      </c>
      <c r="L321" t="s">
        <v>17</v>
      </c>
    </row>
    <row r="322" spans="1:12" x14ac:dyDescent="0.25">
      <c r="A322" t="s">
        <v>342</v>
      </c>
      <c r="B322" t="s">
        <v>13</v>
      </c>
      <c r="C322" t="s">
        <v>14</v>
      </c>
      <c r="D322">
        <v>1</v>
      </c>
      <c r="E322" t="s">
        <v>15</v>
      </c>
      <c r="F322" t="s">
        <v>16</v>
      </c>
      <c r="G322">
        <v>2667</v>
      </c>
      <c r="H322">
        <v>1542</v>
      </c>
      <c r="I322">
        <v>148</v>
      </c>
      <c r="J322">
        <v>360</v>
      </c>
      <c r="K322">
        <v>1</v>
      </c>
      <c r="L322" t="s">
        <v>28</v>
      </c>
    </row>
    <row r="323" spans="1:12" x14ac:dyDescent="0.25">
      <c r="A323" t="s">
        <v>343</v>
      </c>
      <c r="B323" t="s">
        <v>25</v>
      </c>
      <c r="C323" t="s">
        <v>14</v>
      </c>
      <c r="D323">
        <v>0</v>
      </c>
      <c r="E323" t="s">
        <v>22</v>
      </c>
      <c r="F323" t="s">
        <v>16</v>
      </c>
      <c r="G323">
        <v>1647</v>
      </c>
      <c r="H323">
        <v>1762</v>
      </c>
      <c r="I323">
        <v>181</v>
      </c>
      <c r="J323">
        <v>360</v>
      </c>
      <c r="K323">
        <v>1</v>
      </c>
      <c r="L323" t="s">
        <v>17</v>
      </c>
    </row>
    <row r="324" spans="1:12" x14ac:dyDescent="0.25">
      <c r="A324" t="s">
        <v>344</v>
      </c>
      <c r="B324" t="s">
        <v>13</v>
      </c>
      <c r="C324" t="s">
        <v>14</v>
      </c>
      <c r="D324" t="s">
        <v>34</v>
      </c>
      <c r="E324" t="s">
        <v>15</v>
      </c>
      <c r="F324" t="s">
        <v>16</v>
      </c>
      <c r="G324">
        <v>3400</v>
      </c>
      <c r="H324">
        <v>0</v>
      </c>
      <c r="I324">
        <v>80</v>
      </c>
      <c r="J324">
        <v>120</v>
      </c>
      <c r="K324">
        <v>1</v>
      </c>
      <c r="L324" t="s">
        <v>17</v>
      </c>
    </row>
    <row r="325" spans="1:12" x14ac:dyDescent="0.25">
      <c r="A325" t="s">
        <v>345</v>
      </c>
      <c r="B325" t="s">
        <v>13</v>
      </c>
      <c r="C325" t="s">
        <v>16</v>
      </c>
      <c r="D325">
        <v>1</v>
      </c>
      <c r="E325" t="s">
        <v>15</v>
      </c>
      <c r="G325">
        <v>16000</v>
      </c>
      <c r="H325">
        <v>5000</v>
      </c>
      <c r="I325">
        <v>40</v>
      </c>
      <c r="J325">
        <v>360</v>
      </c>
      <c r="K325">
        <v>1</v>
      </c>
      <c r="L325" t="s">
        <v>26</v>
      </c>
    </row>
    <row r="326" spans="1:12" x14ac:dyDescent="0.25">
      <c r="A326" t="s">
        <v>346</v>
      </c>
      <c r="B326" t="s">
        <v>13</v>
      </c>
      <c r="C326" t="s">
        <v>14</v>
      </c>
      <c r="D326">
        <v>0</v>
      </c>
      <c r="E326" t="s">
        <v>15</v>
      </c>
      <c r="F326" t="s">
        <v>16</v>
      </c>
      <c r="G326">
        <v>5333</v>
      </c>
      <c r="H326">
        <v>0</v>
      </c>
      <c r="I326">
        <v>90</v>
      </c>
      <c r="J326">
        <v>360</v>
      </c>
      <c r="K326">
        <v>1</v>
      </c>
      <c r="L326" t="s">
        <v>28</v>
      </c>
    </row>
    <row r="327" spans="1:12" x14ac:dyDescent="0.25">
      <c r="A327" t="s">
        <v>347</v>
      </c>
      <c r="B327" t="s">
        <v>13</v>
      </c>
      <c r="C327" t="s">
        <v>16</v>
      </c>
      <c r="D327">
        <v>0</v>
      </c>
      <c r="E327" t="s">
        <v>15</v>
      </c>
      <c r="F327" t="s">
        <v>16</v>
      </c>
      <c r="G327">
        <v>2875</v>
      </c>
      <c r="H327">
        <v>2416</v>
      </c>
      <c r="I327">
        <v>95</v>
      </c>
      <c r="J327">
        <v>6</v>
      </c>
      <c r="K327">
        <v>0</v>
      </c>
      <c r="L327" t="s">
        <v>26</v>
      </c>
    </row>
    <row r="328" spans="1:12" x14ac:dyDescent="0.25">
      <c r="A328" t="s">
        <v>348</v>
      </c>
      <c r="B328" t="s">
        <v>13</v>
      </c>
      <c r="C328" t="s">
        <v>14</v>
      </c>
      <c r="D328">
        <v>1</v>
      </c>
      <c r="E328" t="s">
        <v>22</v>
      </c>
      <c r="G328">
        <v>2600</v>
      </c>
      <c r="H328">
        <v>618</v>
      </c>
      <c r="I328">
        <v>122</v>
      </c>
      <c r="J328">
        <v>360</v>
      </c>
      <c r="K328">
        <v>1</v>
      </c>
      <c r="L328" t="s">
        <v>26</v>
      </c>
    </row>
    <row r="329" spans="1:12" x14ac:dyDescent="0.25">
      <c r="A329" t="s">
        <v>349</v>
      </c>
      <c r="B329" t="s">
        <v>13</v>
      </c>
      <c r="C329" t="s">
        <v>14</v>
      </c>
      <c r="D329">
        <v>2</v>
      </c>
      <c r="E329" t="s">
        <v>15</v>
      </c>
      <c r="F329" t="s">
        <v>16</v>
      </c>
      <c r="G329">
        <v>5041</v>
      </c>
      <c r="H329">
        <v>700</v>
      </c>
      <c r="I329">
        <v>150</v>
      </c>
      <c r="J329">
        <v>360</v>
      </c>
      <c r="K329">
        <v>1</v>
      </c>
      <c r="L329" t="s">
        <v>17</v>
      </c>
    </row>
    <row r="330" spans="1:12" x14ac:dyDescent="0.25">
      <c r="A330" t="s">
        <v>350</v>
      </c>
      <c r="B330" t="s">
        <v>13</v>
      </c>
      <c r="C330" t="s">
        <v>14</v>
      </c>
      <c r="D330" t="s">
        <v>34</v>
      </c>
      <c r="E330" t="s">
        <v>15</v>
      </c>
      <c r="F330" t="s">
        <v>14</v>
      </c>
      <c r="G330">
        <v>6958</v>
      </c>
      <c r="H330">
        <v>1411</v>
      </c>
      <c r="I330">
        <v>150</v>
      </c>
      <c r="J330">
        <v>360</v>
      </c>
      <c r="K330">
        <v>1</v>
      </c>
      <c r="L330" t="s">
        <v>28</v>
      </c>
    </row>
    <row r="331" spans="1:12" x14ac:dyDescent="0.25">
      <c r="A331" t="s">
        <v>351</v>
      </c>
      <c r="B331" t="s">
        <v>13</v>
      </c>
      <c r="C331" t="s">
        <v>14</v>
      </c>
      <c r="D331">
        <v>1</v>
      </c>
      <c r="E331" t="s">
        <v>15</v>
      </c>
      <c r="F331" t="s">
        <v>16</v>
      </c>
      <c r="G331">
        <v>3500</v>
      </c>
      <c r="H331">
        <v>1658</v>
      </c>
      <c r="I331">
        <v>104</v>
      </c>
      <c r="J331">
        <v>360</v>
      </c>
      <c r="L331" t="s">
        <v>26</v>
      </c>
    </row>
    <row r="332" spans="1:12" x14ac:dyDescent="0.25">
      <c r="A332" t="s">
        <v>352</v>
      </c>
      <c r="B332" t="s">
        <v>13</v>
      </c>
      <c r="C332" t="s">
        <v>14</v>
      </c>
      <c r="D332">
        <v>0</v>
      </c>
      <c r="E332" t="s">
        <v>15</v>
      </c>
      <c r="F332" t="s">
        <v>16</v>
      </c>
      <c r="G332">
        <v>5509</v>
      </c>
      <c r="H332">
        <v>0</v>
      </c>
      <c r="I332">
        <v>143</v>
      </c>
      <c r="J332">
        <v>360</v>
      </c>
      <c r="K332">
        <v>1</v>
      </c>
      <c r="L332" t="s">
        <v>28</v>
      </c>
    </row>
    <row r="333" spans="1:12" x14ac:dyDescent="0.25">
      <c r="A333" t="s">
        <v>353</v>
      </c>
      <c r="B333" t="s">
        <v>13</v>
      </c>
      <c r="C333" t="s">
        <v>14</v>
      </c>
      <c r="D333" t="s">
        <v>34</v>
      </c>
      <c r="E333" t="s">
        <v>15</v>
      </c>
      <c r="F333" t="s">
        <v>16</v>
      </c>
      <c r="G333">
        <v>9699</v>
      </c>
      <c r="H333">
        <v>0</v>
      </c>
      <c r="I333">
        <v>300</v>
      </c>
      <c r="J333">
        <v>360</v>
      </c>
      <c r="K333">
        <v>1</v>
      </c>
      <c r="L333" t="s">
        <v>17</v>
      </c>
    </row>
    <row r="334" spans="1:12" x14ac:dyDescent="0.25">
      <c r="A334" t="s">
        <v>354</v>
      </c>
      <c r="B334" t="s">
        <v>25</v>
      </c>
      <c r="C334" t="s">
        <v>14</v>
      </c>
      <c r="D334">
        <v>1</v>
      </c>
      <c r="E334" t="s">
        <v>22</v>
      </c>
      <c r="F334" t="s">
        <v>16</v>
      </c>
      <c r="G334">
        <v>3621</v>
      </c>
      <c r="H334">
        <v>2717</v>
      </c>
      <c r="I334">
        <v>171</v>
      </c>
      <c r="J334">
        <v>360</v>
      </c>
      <c r="K334">
        <v>1</v>
      </c>
      <c r="L334" t="s">
        <v>17</v>
      </c>
    </row>
    <row r="335" spans="1:12" x14ac:dyDescent="0.25">
      <c r="A335" t="s">
        <v>355</v>
      </c>
      <c r="B335" t="s">
        <v>25</v>
      </c>
      <c r="C335" t="s">
        <v>14</v>
      </c>
      <c r="D335">
        <v>0</v>
      </c>
      <c r="E335" t="s">
        <v>15</v>
      </c>
      <c r="F335" t="s">
        <v>16</v>
      </c>
      <c r="G335">
        <v>4709</v>
      </c>
      <c r="H335">
        <v>0</v>
      </c>
      <c r="I335">
        <v>113</v>
      </c>
      <c r="J335">
        <v>360</v>
      </c>
      <c r="K335">
        <v>1</v>
      </c>
      <c r="L335" t="s">
        <v>26</v>
      </c>
    </row>
    <row r="336" spans="1:12" x14ac:dyDescent="0.25">
      <c r="A336" t="s">
        <v>356</v>
      </c>
      <c r="B336" t="s">
        <v>13</v>
      </c>
      <c r="C336" t="s">
        <v>14</v>
      </c>
      <c r="D336">
        <v>0</v>
      </c>
      <c r="E336" t="s">
        <v>15</v>
      </c>
      <c r="F336" t="s">
        <v>16</v>
      </c>
      <c r="G336">
        <v>1516</v>
      </c>
      <c r="H336">
        <v>1951</v>
      </c>
      <c r="I336">
        <v>35</v>
      </c>
      <c r="J336">
        <v>360</v>
      </c>
      <c r="K336">
        <v>1</v>
      </c>
      <c r="L336" t="s">
        <v>26</v>
      </c>
    </row>
    <row r="337" spans="1:12" x14ac:dyDescent="0.25">
      <c r="A337" t="s">
        <v>357</v>
      </c>
      <c r="B337" t="s">
        <v>13</v>
      </c>
      <c r="C337" t="s">
        <v>16</v>
      </c>
      <c r="D337">
        <v>2</v>
      </c>
      <c r="E337" t="s">
        <v>15</v>
      </c>
      <c r="F337" t="s">
        <v>16</v>
      </c>
      <c r="G337">
        <v>2400</v>
      </c>
      <c r="H337">
        <v>0</v>
      </c>
      <c r="I337">
        <v>46</v>
      </c>
      <c r="J337">
        <v>360</v>
      </c>
      <c r="K337">
        <v>1</v>
      </c>
      <c r="L337" t="s">
        <v>17</v>
      </c>
    </row>
    <row r="338" spans="1:12" x14ac:dyDescent="0.25">
      <c r="A338" t="s">
        <v>358</v>
      </c>
      <c r="B338" t="s">
        <v>25</v>
      </c>
      <c r="C338" t="s">
        <v>16</v>
      </c>
      <c r="D338">
        <v>0</v>
      </c>
      <c r="E338" t="s">
        <v>22</v>
      </c>
      <c r="F338" t="s">
        <v>16</v>
      </c>
      <c r="G338">
        <v>3015</v>
      </c>
      <c r="H338">
        <v>2000</v>
      </c>
      <c r="I338">
        <v>145</v>
      </c>
      <c r="J338">
        <v>360</v>
      </c>
      <c r="L338" t="s">
        <v>17</v>
      </c>
    </row>
    <row r="339" spans="1:12" x14ac:dyDescent="0.25">
      <c r="A339" t="s">
        <v>359</v>
      </c>
      <c r="B339" t="s">
        <v>13</v>
      </c>
      <c r="C339" t="s">
        <v>14</v>
      </c>
      <c r="D339">
        <v>0</v>
      </c>
      <c r="E339" t="s">
        <v>15</v>
      </c>
      <c r="F339" t="s">
        <v>16</v>
      </c>
      <c r="G339">
        <v>2292</v>
      </c>
      <c r="H339">
        <v>1558</v>
      </c>
      <c r="I339">
        <v>119</v>
      </c>
      <c r="J339">
        <v>360</v>
      </c>
      <c r="K339">
        <v>1</v>
      </c>
      <c r="L339" t="s">
        <v>17</v>
      </c>
    </row>
    <row r="340" spans="1:12" x14ac:dyDescent="0.25">
      <c r="A340" t="s">
        <v>360</v>
      </c>
      <c r="B340" t="s">
        <v>13</v>
      </c>
      <c r="C340" t="s">
        <v>14</v>
      </c>
      <c r="D340">
        <v>1</v>
      </c>
      <c r="E340" t="s">
        <v>15</v>
      </c>
      <c r="F340" t="s">
        <v>14</v>
      </c>
      <c r="G340">
        <v>2360</v>
      </c>
      <c r="H340">
        <v>3355</v>
      </c>
      <c r="I340">
        <v>87</v>
      </c>
      <c r="J340">
        <v>240</v>
      </c>
      <c r="K340">
        <v>1</v>
      </c>
      <c r="L340" t="s">
        <v>28</v>
      </c>
    </row>
    <row r="341" spans="1:12" x14ac:dyDescent="0.25">
      <c r="A341" t="s">
        <v>361</v>
      </c>
      <c r="B341" t="s">
        <v>25</v>
      </c>
      <c r="C341" t="s">
        <v>16</v>
      </c>
      <c r="D341">
        <v>0</v>
      </c>
      <c r="E341" t="s">
        <v>15</v>
      </c>
      <c r="F341" t="s">
        <v>16</v>
      </c>
      <c r="G341">
        <v>4333</v>
      </c>
      <c r="H341">
        <v>2333</v>
      </c>
      <c r="I341">
        <v>162</v>
      </c>
      <c r="J341">
        <v>360</v>
      </c>
      <c r="K341">
        <v>0</v>
      </c>
      <c r="L341" t="s">
        <v>28</v>
      </c>
    </row>
    <row r="342" spans="1:12" x14ac:dyDescent="0.25">
      <c r="A342" t="s">
        <v>362</v>
      </c>
      <c r="B342" t="s">
        <v>13</v>
      </c>
      <c r="C342" t="s">
        <v>14</v>
      </c>
      <c r="D342">
        <v>0</v>
      </c>
      <c r="E342" t="s">
        <v>15</v>
      </c>
      <c r="F342" t="s">
        <v>14</v>
      </c>
      <c r="G342">
        <v>2623</v>
      </c>
      <c r="H342">
        <v>4831</v>
      </c>
      <c r="I342">
        <v>122</v>
      </c>
      <c r="J342">
        <v>180</v>
      </c>
      <c r="K342">
        <v>1</v>
      </c>
      <c r="L342" t="s">
        <v>26</v>
      </c>
    </row>
    <row r="343" spans="1:12" x14ac:dyDescent="0.25">
      <c r="A343" t="s">
        <v>363</v>
      </c>
      <c r="B343" t="s">
        <v>13</v>
      </c>
      <c r="C343" t="s">
        <v>16</v>
      </c>
      <c r="D343">
        <v>0</v>
      </c>
      <c r="E343" t="s">
        <v>15</v>
      </c>
      <c r="F343" t="s">
        <v>14</v>
      </c>
      <c r="G343">
        <v>3972</v>
      </c>
      <c r="H343">
        <v>4275</v>
      </c>
      <c r="I343">
        <v>187</v>
      </c>
      <c r="J343">
        <v>360</v>
      </c>
      <c r="K343">
        <v>1</v>
      </c>
      <c r="L343" t="s">
        <v>28</v>
      </c>
    </row>
    <row r="344" spans="1:12" x14ac:dyDescent="0.25">
      <c r="A344" t="s">
        <v>364</v>
      </c>
      <c r="B344" t="s">
        <v>13</v>
      </c>
      <c r="C344" t="s">
        <v>14</v>
      </c>
      <c r="D344" t="s">
        <v>34</v>
      </c>
      <c r="E344" t="s">
        <v>22</v>
      </c>
      <c r="F344" t="s">
        <v>16</v>
      </c>
      <c r="G344">
        <v>3522</v>
      </c>
      <c r="H344">
        <v>0</v>
      </c>
      <c r="I344">
        <v>81</v>
      </c>
      <c r="J344">
        <v>180</v>
      </c>
      <c r="K344">
        <v>1</v>
      </c>
      <c r="L344" t="s">
        <v>28</v>
      </c>
    </row>
    <row r="345" spans="1:12" x14ac:dyDescent="0.25">
      <c r="A345" t="s">
        <v>365</v>
      </c>
      <c r="B345" t="s">
        <v>13</v>
      </c>
      <c r="C345" t="s">
        <v>14</v>
      </c>
      <c r="D345">
        <v>1</v>
      </c>
      <c r="E345" t="s">
        <v>15</v>
      </c>
      <c r="F345" t="s">
        <v>16</v>
      </c>
      <c r="G345">
        <v>4700</v>
      </c>
      <c r="H345">
        <v>0</v>
      </c>
      <c r="I345">
        <v>80</v>
      </c>
      <c r="J345">
        <v>360</v>
      </c>
      <c r="K345">
        <v>1</v>
      </c>
      <c r="L345" t="s">
        <v>17</v>
      </c>
    </row>
    <row r="346" spans="1:12" x14ac:dyDescent="0.25">
      <c r="A346" t="s">
        <v>366</v>
      </c>
      <c r="B346" t="s">
        <v>13</v>
      </c>
      <c r="C346" t="s">
        <v>16</v>
      </c>
      <c r="D346">
        <v>0</v>
      </c>
      <c r="E346" t="s">
        <v>15</v>
      </c>
      <c r="F346" t="s">
        <v>16</v>
      </c>
      <c r="G346">
        <v>6858</v>
      </c>
      <c r="H346">
        <v>0</v>
      </c>
      <c r="I346">
        <v>176</v>
      </c>
      <c r="J346">
        <v>360</v>
      </c>
      <c r="K346">
        <v>1</v>
      </c>
      <c r="L346" t="s">
        <v>28</v>
      </c>
    </row>
    <row r="347" spans="1:12" x14ac:dyDescent="0.25">
      <c r="A347" t="s">
        <v>367</v>
      </c>
      <c r="B347" t="s">
        <v>13</v>
      </c>
      <c r="C347" t="s">
        <v>14</v>
      </c>
      <c r="D347" t="s">
        <v>34</v>
      </c>
      <c r="E347" t="s">
        <v>15</v>
      </c>
      <c r="F347" t="s">
        <v>16</v>
      </c>
      <c r="G347">
        <v>8334</v>
      </c>
      <c r="H347">
        <v>0</v>
      </c>
      <c r="I347">
        <v>260</v>
      </c>
      <c r="J347">
        <v>360</v>
      </c>
      <c r="K347">
        <v>1</v>
      </c>
      <c r="L347" t="s">
        <v>17</v>
      </c>
    </row>
    <row r="348" spans="1:12" x14ac:dyDescent="0.25">
      <c r="A348" t="s">
        <v>368</v>
      </c>
      <c r="B348" t="s">
        <v>13</v>
      </c>
      <c r="C348" t="s">
        <v>14</v>
      </c>
      <c r="D348">
        <v>0</v>
      </c>
      <c r="E348" t="s">
        <v>15</v>
      </c>
      <c r="F348" t="s">
        <v>16</v>
      </c>
      <c r="G348">
        <v>3391</v>
      </c>
      <c r="H348">
        <v>1966</v>
      </c>
      <c r="I348">
        <v>133</v>
      </c>
      <c r="J348">
        <v>360</v>
      </c>
      <c r="K348">
        <v>0</v>
      </c>
      <c r="L348" t="s">
        <v>28</v>
      </c>
    </row>
    <row r="349" spans="1:12" x14ac:dyDescent="0.25">
      <c r="A349" t="s">
        <v>369</v>
      </c>
      <c r="B349" t="s">
        <v>13</v>
      </c>
      <c r="C349" t="s">
        <v>16</v>
      </c>
      <c r="D349">
        <v>0</v>
      </c>
      <c r="E349" t="s">
        <v>22</v>
      </c>
      <c r="F349" t="s">
        <v>16</v>
      </c>
      <c r="G349">
        <v>2868</v>
      </c>
      <c r="H349">
        <v>0</v>
      </c>
      <c r="I349">
        <v>70</v>
      </c>
      <c r="J349">
        <v>360</v>
      </c>
      <c r="K349">
        <v>1</v>
      </c>
      <c r="L349" t="s">
        <v>17</v>
      </c>
    </row>
    <row r="350" spans="1:12" x14ac:dyDescent="0.25">
      <c r="A350" t="s">
        <v>370</v>
      </c>
      <c r="B350" t="s">
        <v>13</v>
      </c>
      <c r="C350" t="s">
        <v>14</v>
      </c>
      <c r="D350">
        <v>2</v>
      </c>
      <c r="E350" t="s">
        <v>22</v>
      </c>
      <c r="F350" t="s">
        <v>16</v>
      </c>
      <c r="G350">
        <v>3418</v>
      </c>
      <c r="H350">
        <v>1380</v>
      </c>
      <c r="I350">
        <v>135</v>
      </c>
      <c r="J350">
        <v>360</v>
      </c>
      <c r="K350">
        <v>1</v>
      </c>
      <c r="L350" t="s">
        <v>17</v>
      </c>
    </row>
    <row r="351" spans="1:12" x14ac:dyDescent="0.25">
      <c r="A351" t="s">
        <v>371</v>
      </c>
      <c r="B351" t="s">
        <v>13</v>
      </c>
      <c r="C351" t="s">
        <v>14</v>
      </c>
      <c r="D351">
        <v>0</v>
      </c>
      <c r="E351" t="s">
        <v>15</v>
      </c>
      <c r="F351" t="s">
        <v>14</v>
      </c>
      <c r="G351">
        <v>2500</v>
      </c>
      <c r="H351">
        <v>296</v>
      </c>
      <c r="I351">
        <v>137</v>
      </c>
      <c r="J351">
        <v>300</v>
      </c>
      <c r="K351">
        <v>1</v>
      </c>
      <c r="L351" t="s">
        <v>28</v>
      </c>
    </row>
    <row r="352" spans="1:12" x14ac:dyDescent="0.25">
      <c r="A352" t="s">
        <v>372</v>
      </c>
      <c r="B352" t="s">
        <v>13</v>
      </c>
      <c r="C352" t="s">
        <v>14</v>
      </c>
      <c r="D352">
        <v>2</v>
      </c>
      <c r="E352" t="s">
        <v>15</v>
      </c>
      <c r="F352" t="s">
        <v>16</v>
      </c>
      <c r="G352">
        <v>8667</v>
      </c>
      <c r="H352">
        <v>0</v>
      </c>
      <c r="I352">
        <v>254</v>
      </c>
      <c r="J352">
        <v>360</v>
      </c>
      <c r="K352">
        <v>1</v>
      </c>
      <c r="L352" t="s">
        <v>28</v>
      </c>
    </row>
    <row r="353" spans="1:12" x14ac:dyDescent="0.25">
      <c r="A353" t="s">
        <v>373</v>
      </c>
      <c r="B353" t="s">
        <v>13</v>
      </c>
      <c r="C353" t="s">
        <v>16</v>
      </c>
      <c r="D353">
        <v>0</v>
      </c>
      <c r="E353" t="s">
        <v>15</v>
      </c>
      <c r="F353" t="s">
        <v>16</v>
      </c>
      <c r="G353">
        <v>2283</v>
      </c>
      <c r="H353">
        <v>15000</v>
      </c>
      <c r="I353">
        <v>106</v>
      </c>
      <c r="J353">
        <v>360</v>
      </c>
      <c r="L353" t="s">
        <v>28</v>
      </c>
    </row>
    <row r="354" spans="1:12" x14ac:dyDescent="0.25">
      <c r="A354" t="s">
        <v>374</v>
      </c>
      <c r="B354" t="s">
        <v>13</v>
      </c>
      <c r="C354" t="s">
        <v>14</v>
      </c>
      <c r="D354">
        <v>0</v>
      </c>
      <c r="E354" t="s">
        <v>15</v>
      </c>
      <c r="F354" t="s">
        <v>16</v>
      </c>
      <c r="G354">
        <v>5817</v>
      </c>
      <c r="H354">
        <v>910</v>
      </c>
      <c r="I354">
        <v>109</v>
      </c>
      <c r="J354">
        <v>360</v>
      </c>
      <c r="K354">
        <v>1</v>
      </c>
      <c r="L354" t="s">
        <v>17</v>
      </c>
    </row>
    <row r="355" spans="1:12" x14ac:dyDescent="0.25">
      <c r="A355" t="s">
        <v>375</v>
      </c>
      <c r="B355" t="s">
        <v>13</v>
      </c>
      <c r="C355" t="s">
        <v>14</v>
      </c>
      <c r="D355">
        <v>0</v>
      </c>
      <c r="E355" t="s">
        <v>15</v>
      </c>
      <c r="F355" t="s">
        <v>16</v>
      </c>
      <c r="G355">
        <v>5119</v>
      </c>
      <c r="H355">
        <v>3769</v>
      </c>
      <c r="I355">
        <v>120</v>
      </c>
      <c r="J355">
        <v>360</v>
      </c>
      <c r="K355">
        <v>1</v>
      </c>
      <c r="L355" t="s">
        <v>28</v>
      </c>
    </row>
    <row r="356" spans="1:12" x14ac:dyDescent="0.25">
      <c r="A356" t="s">
        <v>376</v>
      </c>
      <c r="B356" t="s">
        <v>13</v>
      </c>
      <c r="C356" t="s">
        <v>14</v>
      </c>
      <c r="D356" t="s">
        <v>34</v>
      </c>
      <c r="E356" t="s">
        <v>22</v>
      </c>
      <c r="F356" t="s">
        <v>16</v>
      </c>
      <c r="G356">
        <v>5316</v>
      </c>
      <c r="H356">
        <v>187</v>
      </c>
      <c r="I356">
        <v>158</v>
      </c>
      <c r="J356">
        <v>180</v>
      </c>
      <c r="K356">
        <v>0</v>
      </c>
      <c r="L356" t="s">
        <v>26</v>
      </c>
    </row>
    <row r="357" spans="1:12" x14ac:dyDescent="0.25">
      <c r="A357" t="s">
        <v>377</v>
      </c>
      <c r="B357" t="s">
        <v>13</v>
      </c>
      <c r="C357" t="s">
        <v>14</v>
      </c>
      <c r="D357" t="s">
        <v>34</v>
      </c>
      <c r="E357" t="s">
        <v>15</v>
      </c>
      <c r="F357" t="s">
        <v>16</v>
      </c>
      <c r="G357">
        <v>7603</v>
      </c>
      <c r="H357">
        <v>1213</v>
      </c>
      <c r="I357">
        <v>197</v>
      </c>
      <c r="J357">
        <v>360</v>
      </c>
      <c r="K357">
        <v>1</v>
      </c>
      <c r="L357" t="s">
        <v>17</v>
      </c>
    </row>
    <row r="358" spans="1:12" x14ac:dyDescent="0.25">
      <c r="A358" t="s">
        <v>378</v>
      </c>
      <c r="B358" t="s">
        <v>13</v>
      </c>
      <c r="C358" t="s">
        <v>14</v>
      </c>
      <c r="D358">
        <v>1</v>
      </c>
      <c r="E358" t="s">
        <v>15</v>
      </c>
      <c r="F358" t="s">
        <v>16</v>
      </c>
      <c r="G358">
        <v>3791</v>
      </c>
      <c r="H358">
        <v>1936</v>
      </c>
      <c r="I358">
        <v>85</v>
      </c>
      <c r="J358">
        <v>360</v>
      </c>
      <c r="K358">
        <v>1</v>
      </c>
      <c r="L358" t="s">
        <v>17</v>
      </c>
    </row>
    <row r="359" spans="1:12" x14ac:dyDescent="0.25">
      <c r="A359" t="s">
        <v>379</v>
      </c>
      <c r="B359" t="s">
        <v>13</v>
      </c>
      <c r="C359" t="s">
        <v>16</v>
      </c>
      <c r="D359">
        <v>0</v>
      </c>
      <c r="E359" t="s">
        <v>15</v>
      </c>
      <c r="F359" t="s">
        <v>16</v>
      </c>
      <c r="G359">
        <v>2500</v>
      </c>
      <c r="H359">
        <v>0</v>
      </c>
      <c r="I359">
        <v>60</v>
      </c>
      <c r="J359">
        <v>360</v>
      </c>
      <c r="K359">
        <v>1</v>
      </c>
      <c r="L359" t="s">
        <v>17</v>
      </c>
    </row>
    <row r="360" spans="1:12" x14ac:dyDescent="0.25">
      <c r="A360" t="s">
        <v>380</v>
      </c>
      <c r="B360" t="s">
        <v>13</v>
      </c>
      <c r="C360" t="s">
        <v>14</v>
      </c>
      <c r="D360">
        <v>2</v>
      </c>
      <c r="E360" t="s">
        <v>22</v>
      </c>
      <c r="F360" t="s">
        <v>16</v>
      </c>
      <c r="G360">
        <v>3132</v>
      </c>
      <c r="H360">
        <v>0</v>
      </c>
      <c r="I360">
        <v>76</v>
      </c>
      <c r="J360">
        <v>360</v>
      </c>
      <c r="L360" t="s">
        <v>28</v>
      </c>
    </row>
    <row r="361" spans="1:12" x14ac:dyDescent="0.25">
      <c r="A361" t="s">
        <v>381</v>
      </c>
      <c r="B361" t="s">
        <v>13</v>
      </c>
      <c r="C361" t="s">
        <v>16</v>
      </c>
      <c r="D361">
        <v>0</v>
      </c>
      <c r="E361" t="s">
        <v>15</v>
      </c>
      <c r="F361" t="s">
        <v>16</v>
      </c>
      <c r="G361">
        <v>4000</v>
      </c>
      <c r="H361">
        <v>2667</v>
      </c>
      <c r="I361">
        <v>152</v>
      </c>
      <c r="J361">
        <v>360</v>
      </c>
      <c r="K361">
        <v>1</v>
      </c>
      <c r="L361" t="s">
        <v>26</v>
      </c>
    </row>
    <row r="362" spans="1:12" x14ac:dyDescent="0.25">
      <c r="A362" t="s">
        <v>382</v>
      </c>
      <c r="B362" t="s">
        <v>25</v>
      </c>
      <c r="C362" t="s">
        <v>14</v>
      </c>
      <c r="D362">
        <v>0</v>
      </c>
      <c r="E362" t="s">
        <v>15</v>
      </c>
      <c r="F362" t="s">
        <v>16</v>
      </c>
      <c r="G362">
        <v>8550</v>
      </c>
      <c r="H362">
        <v>4255</v>
      </c>
      <c r="I362">
        <v>96</v>
      </c>
      <c r="J362">
        <v>360</v>
      </c>
      <c r="L362" t="s">
        <v>17</v>
      </c>
    </row>
    <row r="363" spans="1:12" x14ac:dyDescent="0.25">
      <c r="A363" t="s">
        <v>383</v>
      </c>
      <c r="B363" t="s">
        <v>13</v>
      </c>
      <c r="C363" t="s">
        <v>14</v>
      </c>
      <c r="D363">
        <v>1</v>
      </c>
      <c r="E363" t="s">
        <v>15</v>
      </c>
      <c r="F363" t="s">
        <v>16</v>
      </c>
      <c r="G363">
        <v>2269</v>
      </c>
      <c r="H363">
        <v>2167</v>
      </c>
      <c r="I363">
        <v>99</v>
      </c>
      <c r="J363">
        <v>360</v>
      </c>
      <c r="K363">
        <v>1</v>
      </c>
      <c r="L363" t="s">
        <v>26</v>
      </c>
    </row>
    <row r="364" spans="1:12" x14ac:dyDescent="0.25">
      <c r="A364" t="s">
        <v>384</v>
      </c>
      <c r="B364" t="s">
        <v>13</v>
      </c>
      <c r="C364" t="s">
        <v>14</v>
      </c>
      <c r="D364" t="s">
        <v>34</v>
      </c>
      <c r="E364" t="s">
        <v>22</v>
      </c>
      <c r="F364" t="s">
        <v>14</v>
      </c>
      <c r="G364">
        <v>4009</v>
      </c>
      <c r="H364">
        <v>1777</v>
      </c>
      <c r="I364">
        <v>113</v>
      </c>
      <c r="J364">
        <v>360</v>
      </c>
      <c r="K364">
        <v>1</v>
      </c>
      <c r="L364" t="s">
        <v>17</v>
      </c>
    </row>
    <row r="365" spans="1:12" x14ac:dyDescent="0.25">
      <c r="A365" t="s">
        <v>385</v>
      </c>
      <c r="B365" t="s">
        <v>13</v>
      </c>
      <c r="C365" t="s">
        <v>14</v>
      </c>
      <c r="D365">
        <v>0</v>
      </c>
      <c r="E365" t="s">
        <v>15</v>
      </c>
      <c r="F365" t="s">
        <v>16</v>
      </c>
      <c r="G365">
        <v>4158</v>
      </c>
      <c r="H365">
        <v>709</v>
      </c>
      <c r="I365">
        <v>115</v>
      </c>
      <c r="J365">
        <v>360</v>
      </c>
      <c r="K365">
        <v>1</v>
      </c>
      <c r="L365" t="s">
        <v>17</v>
      </c>
    </row>
    <row r="366" spans="1:12" x14ac:dyDescent="0.25">
      <c r="A366" t="s">
        <v>386</v>
      </c>
      <c r="B366" t="s">
        <v>13</v>
      </c>
      <c r="C366" t="s">
        <v>16</v>
      </c>
      <c r="D366">
        <v>0</v>
      </c>
      <c r="E366" t="s">
        <v>15</v>
      </c>
      <c r="F366" t="s">
        <v>16</v>
      </c>
      <c r="G366">
        <v>3250</v>
      </c>
      <c r="H366">
        <v>1993</v>
      </c>
      <c r="I366">
        <v>126</v>
      </c>
      <c r="J366">
        <v>360</v>
      </c>
      <c r="L366" t="s">
        <v>26</v>
      </c>
    </row>
    <row r="367" spans="1:12" x14ac:dyDescent="0.25">
      <c r="A367" t="s">
        <v>387</v>
      </c>
      <c r="B367" t="s">
        <v>13</v>
      </c>
      <c r="C367" t="s">
        <v>14</v>
      </c>
      <c r="D367">
        <v>0</v>
      </c>
      <c r="E367" t="s">
        <v>15</v>
      </c>
      <c r="F367" t="s">
        <v>16</v>
      </c>
      <c r="G367">
        <v>5000</v>
      </c>
      <c r="H367">
        <v>2393</v>
      </c>
      <c r="I367">
        <v>158</v>
      </c>
      <c r="J367">
        <v>360</v>
      </c>
      <c r="K367">
        <v>1</v>
      </c>
      <c r="L367" t="s">
        <v>28</v>
      </c>
    </row>
    <row r="368" spans="1:12" x14ac:dyDescent="0.25">
      <c r="A368" t="s">
        <v>388</v>
      </c>
      <c r="B368" t="s">
        <v>13</v>
      </c>
      <c r="C368" t="s">
        <v>16</v>
      </c>
      <c r="D368">
        <v>0</v>
      </c>
      <c r="E368" t="s">
        <v>15</v>
      </c>
      <c r="F368" t="s">
        <v>14</v>
      </c>
      <c r="G368">
        <v>9200</v>
      </c>
      <c r="H368">
        <v>0</v>
      </c>
      <c r="I368">
        <v>98</v>
      </c>
      <c r="J368">
        <v>180</v>
      </c>
      <c r="K368">
        <v>1</v>
      </c>
      <c r="L368"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4CB8A-4E7D-45BA-8FBD-A7F5CE884FFA}">
  <dimension ref="A1:Q368"/>
  <sheetViews>
    <sheetView workbookViewId="0">
      <pane ySplit="1" topLeftCell="A2" activePane="bottomLeft" state="frozen"/>
      <selection pane="bottomLeft" activeCell="Q4" sqref="Q4"/>
    </sheetView>
  </sheetViews>
  <sheetFormatPr defaultRowHeight="15" x14ac:dyDescent="0.25"/>
  <cols>
    <col min="1" max="1" width="10.28515625" customWidth="1"/>
    <col min="2" max="2" width="9.85546875" customWidth="1"/>
    <col min="3" max="3" width="10" customWidth="1"/>
    <col min="4" max="4" width="14.28515625" customWidth="1"/>
    <col min="5" max="5" width="19.85546875" customWidth="1"/>
    <col min="6" max="6" width="16.5703125" customWidth="1"/>
    <col min="7" max="7" width="18.28515625" customWidth="1"/>
    <col min="8" max="8" width="20.7109375" customWidth="1"/>
    <col min="9" max="9" width="14.42578125" customWidth="1"/>
    <col min="10" max="10" width="20.7109375" customWidth="1"/>
    <col min="11" max="11" width="16.28515625" customWidth="1"/>
    <col min="12" max="12" width="15.7109375" customWidth="1"/>
    <col min="13" max="13" width="15.42578125" customWidth="1"/>
    <col min="14" max="14" width="14.7109375" customWidth="1"/>
    <col min="15" max="15" width="18.28515625" customWidth="1"/>
    <col min="17" max="17" width="18.710937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393</v>
      </c>
      <c r="N1" s="1" t="s">
        <v>394</v>
      </c>
      <c r="O1" s="1" t="s">
        <v>395</v>
      </c>
    </row>
    <row r="2" spans="1:17" x14ac:dyDescent="0.25">
      <c r="A2" t="s">
        <v>12</v>
      </c>
      <c r="B2" t="s">
        <v>13</v>
      </c>
      <c r="C2" t="s">
        <v>14</v>
      </c>
      <c r="D2" t="s">
        <v>389</v>
      </c>
      <c r="E2" t="s">
        <v>15</v>
      </c>
      <c r="F2" t="s">
        <v>16</v>
      </c>
      <c r="G2">
        <v>5720</v>
      </c>
      <c r="H2">
        <v>0</v>
      </c>
      <c r="I2">
        <v>110</v>
      </c>
      <c r="J2">
        <v>360</v>
      </c>
      <c r="K2">
        <v>1</v>
      </c>
      <c r="L2" t="s">
        <v>17</v>
      </c>
      <c r="M2" t="str">
        <f>IF(AND(K2=1,G2&gt;3000,I2&lt;200),"Approved","Rejected")</f>
        <v>Approved</v>
      </c>
      <c r="N2">
        <f>G2+H2</f>
        <v>5720</v>
      </c>
      <c r="O2">
        <f>IF(M2="Approved",1,0)</f>
        <v>1</v>
      </c>
    </row>
    <row r="3" spans="1:17" x14ac:dyDescent="0.25">
      <c r="A3" t="s">
        <v>18</v>
      </c>
      <c r="B3" t="s">
        <v>13</v>
      </c>
      <c r="C3" t="s">
        <v>14</v>
      </c>
      <c r="D3" t="s">
        <v>389</v>
      </c>
      <c r="E3" t="s">
        <v>15</v>
      </c>
      <c r="F3" t="s">
        <v>16</v>
      </c>
      <c r="G3">
        <v>3076</v>
      </c>
      <c r="H3">
        <v>1500</v>
      </c>
      <c r="I3">
        <v>126</v>
      </c>
      <c r="J3">
        <v>360</v>
      </c>
      <c r="K3">
        <v>1</v>
      </c>
      <c r="L3" t="s">
        <v>17</v>
      </c>
      <c r="M3" t="str">
        <f t="shared" ref="M3:M66" si="0">IF(AND(K3=1,G3&gt;3000,I3&lt;200),"Approved","Rejected")</f>
        <v>Approved</v>
      </c>
      <c r="N3">
        <f t="shared" ref="N3:N66" si="1">G3+H3</f>
        <v>4576</v>
      </c>
      <c r="O3">
        <f t="shared" ref="O3:O66" si="2">IF(M3="Approved",1,0)</f>
        <v>1</v>
      </c>
    </row>
    <row r="4" spans="1:17" x14ac:dyDescent="0.25">
      <c r="A4" t="s">
        <v>19</v>
      </c>
      <c r="B4" t="s">
        <v>13</v>
      </c>
      <c r="C4" t="s">
        <v>14</v>
      </c>
      <c r="D4" t="s">
        <v>390</v>
      </c>
      <c r="E4" t="s">
        <v>15</v>
      </c>
      <c r="F4" t="s">
        <v>16</v>
      </c>
      <c r="G4">
        <v>5000</v>
      </c>
      <c r="H4">
        <v>1800</v>
      </c>
      <c r="I4">
        <v>208</v>
      </c>
      <c r="J4">
        <v>360</v>
      </c>
      <c r="K4">
        <v>1</v>
      </c>
      <c r="L4" t="s">
        <v>17</v>
      </c>
      <c r="M4" t="str">
        <f t="shared" si="0"/>
        <v>Rejected</v>
      </c>
      <c r="N4">
        <f t="shared" si="1"/>
        <v>6800</v>
      </c>
      <c r="O4">
        <f t="shared" si="2"/>
        <v>0</v>
      </c>
      <c r="Q4" t="s">
        <v>426</v>
      </c>
    </row>
    <row r="5" spans="1:17" x14ac:dyDescent="0.25">
      <c r="A5" t="s">
        <v>20</v>
      </c>
      <c r="B5" t="s">
        <v>13</v>
      </c>
      <c r="C5" t="s">
        <v>14</v>
      </c>
      <c r="D5" t="s">
        <v>34</v>
      </c>
      <c r="E5" t="s">
        <v>15</v>
      </c>
      <c r="F5" t="s">
        <v>16</v>
      </c>
      <c r="G5">
        <v>2340</v>
      </c>
      <c r="H5">
        <v>2546</v>
      </c>
      <c r="I5">
        <v>100</v>
      </c>
      <c r="J5">
        <v>360</v>
      </c>
      <c r="L5" t="s">
        <v>17</v>
      </c>
      <c r="M5" t="str">
        <f t="shared" si="0"/>
        <v>Rejected</v>
      </c>
      <c r="N5">
        <f t="shared" si="1"/>
        <v>4886</v>
      </c>
      <c r="O5">
        <f t="shared" si="2"/>
        <v>0</v>
      </c>
      <c r="Q5">
        <f>COUNTIF(M2:M368,"Approved")</f>
        <v>179</v>
      </c>
    </row>
    <row r="6" spans="1:17" x14ac:dyDescent="0.25">
      <c r="A6" t="s">
        <v>21</v>
      </c>
      <c r="B6" t="s">
        <v>13</v>
      </c>
      <c r="C6" t="s">
        <v>16</v>
      </c>
      <c r="D6" t="s">
        <v>389</v>
      </c>
      <c r="E6" t="s">
        <v>22</v>
      </c>
      <c r="F6" t="s">
        <v>16</v>
      </c>
      <c r="G6">
        <v>3276</v>
      </c>
      <c r="H6">
        <v>0</v>
      </c>
      <c r="I6">
        <v>78</v>
      </c>
      <c r="J6">
        <v>360</v>
      </c>
      <c r="K6">
        <v>1</v>
      </c>
      <c r="L6" t="s">
        <v>17</v>
      </c>
      <c r="M6" t="str">
        <f t="shared" si="0"/>
        <v>Approved</v>
      </c>
      <c r="N6">
        <f t="shared" si="1"/>
        <v>3276</v>
      </c>
      <c r="O6">
        <f t="shared" si="2"/>
        <v>1</v>
      </c>
    </row>
    <row r="7" spans="1:17" x14ac:dyDescent="0.25">
      <c r="A7" t="s">
        <v>23</v>
      </c>
      <c r="B7" t="s">
        <v>13</v>
      </c>
      <c r="C7" t="s">
        <v>14</v>
      </c>
      <c r="D7" t="s">
        <v>389</v>
      </c>
      <c r="E7" t="s">
        <v>22</v>
      </c>
      <c r="F7" t="s">
        <v>14</v>
      </c>
      <c r="G7">
        <v>2165</v>
      </c>
      <c r="H7">
        <v>3422</v>
      </c>
      <c r="I7">
        <v>152</v>
      </c>
      <c r="J7">
        <v>360</v>
      </c>
      <c r="K7">
        <v>1</v>
      </c>
      <c r="L7" t="s">
        <v>17</v>
      </c>
      <c r="M7" t="str">
        <f t="shared" si="0"/>
        <v>Rejected</v>
      </c>
      <c r="N7">
        <f t="shared" si="1"/>
        <v>5587</v>
      </c>
      <c r="O7">
        <f t="shared" si="2"/>
        <v>0</v>
      </c>
      <c r="Q7" t="s">
        <v>427</v>
      </c>
    </row>
    <row r="8" spans="1:17" x14ac:dyDescent="0.25">
      <c r="A8" t="s">
        <v>24</v>
      </c>
      <c r="B8" t="s">
        <v>25</v>
      </c>
      <c r="C8" t="s">
        <v>16</v>
      </c>
      <c r="D8" t="s">
        <v>389</v>
      </c>
      <c r="E8" t="s">
        <v>22</v>
      </c>
      <c r="F8" t="s">
        <v>16</v>
      </c>
      <c r="G8">
        <v>2226</v>
      </c>
      <c r="H8">
        <v>0</v>
      </c>
      <c r="I8">
        <v>59</v>
      </c>
      <c r="J8">
        <v>360</v>
      </c>
      <c r="K8">
        <v>1</v>
      </c>
      <c r="L8" t="s">
        <v>26</v>
      </c>
      <c r="M8" t="str">
        <f t="shared" si="0"/>
        <v>Rejected</v>
      </c>
      <c r="N8">
        <f t="shared" si="1"/>
        <v>2226</v>
      </c>
      <c r="O8">
        <f t="shared" si="2"/>
        <v>0</v>
      </c>
      <c r="Q8">
        <f>COUNTIF(M2:M368,"Rejected")</f>
        <v>188</v>
      </c>
    </row>
    <row r="9" spans="1:17" x14ac:dyDescent="0.25">
      <c r="A9" t="s">
        <v>27</v>
      </c>
      <c r="B9" t="s">
        <v>13</v>
      </c>
      <c r="C9" t="s">
        <v>14</v>
      </c>
      <c r="D9" t="s">
        <v>389</v>
      </c>
      <c r="E9" t="s">
        <v>22</v>
      </c>
      <c r="F9" t="s">
        <v>16</v>
      </c>
      <c r="G9">
        <v>3881</v>
      </c>
      <c r="H9">
        <v>0</v>
      </c>
      <c r="I9">
        <v>147</v>
      </c>
      <c r="J9">
        <v>360</v>
      </c>
      <c r="K9">
        <v>0</v>
      </c>
      <c r="L9" t="s">
        <v>28</v>
      </c>
      <c r="M9" t="str">
        <f t="shared" si="0"/>
        <v>Rejected</v>
      </c>
      <c r="N9">
        <f t="shared" si="1"/>
        <v>3881</v>
      </c>
      <c r="O9">
        <f t="shared" si="2"/>
        <v>0</v>
      </c>
    </row>
    <row r="10" spans="1:17" x14ac:dyDescent="0.25">
      <c r="A10" t="s">
        <v>29</v>
      </c>
      <c r="B10" t="s">
        <v>13</v>
      </c>
      <c r="C10" t="s">
        <v>14</v>
      </c>
      <c r="D10" t="s">
        <v>391</v>
      </c>
      <c r="E10" t="s">
        <v>15</v>
      </c>
      <c r="G10">
        <v>13633</v>
      </c>
      <c r="H10">
        <v>0</v>
      </c>
      <c r="I10">
        <v>280</v>
      </c>
      <c r="J10">
        <v>240</v>
      </c>
      <c r="K10">
        <v>1</v>
      </c>
      <c r="L10" t="s">
        <v>17</v>
      </c>
      <c r="M10" t="str">
        <f t="shared" si="0"/>
        <v>Rejected</v>
      </c>
      <c r="N10">
        <f t="shared" si="1"/>
        <v>13633</v>
      </c>
      <c r="O10">
        <f t="shared" si="2"/>
        <v>0</v>
      </c>
      <c r="Q10" t="s">
        <v>428</v>
      </c>
    </row>
    <row r="11" spans="1:17" x14ac:dyDescent="0.25">
      <c r="A11" t="s">
        <v>30</v>
      </c>
      <c r="B11" t="s">
        <v>13</v>
      </c>
      <c r="C11" t="s">
        <v>16</v>
      </c>
      <c r="D11" t="s">
        <v>389</v>
      </c>
      <c r="E11" t="s">
        <v>22</v>
      </c>
      <c r="F11" t="s">
        <v>16</v>
      </c>
      <c r="G11">
        <v>2400</v>
      </c>
      <c r="H11">
        <v>2400</v>
      </c>
      <c r="I11">
        <v>123</v>
      </c>
      <c r="J11">
        <v>360</v>
      </c>
      <c r="K11">
        <v>1</v>
      </c>
      <c r="L11" t="s">
        <v>26</v>
      </c>
      <c r="M11" t="str">
        <f t="shared" si="0"/>
        <v>Rejected</v>
      </c>
      <c r="N11">
        <f t="shared" si="1"/>
        <v>4800</v>
      </c>
      <c r="O11">
        <f t="shared" si="2"/>
        <v>0</v>
      </c>
      <c r="Q11">
        <f>COUNTA(A2:A368)</f>
        <v>367</v>
      </c>
    </row>
    <row r="12" spans="1:17" x14ac:dyDescent="0.25">
      <c r="A12" t="s">
        <v>31</v>
      </c>
      <c r="B12" t="s">
        <v>13</v>
      </c>
      <c r="C12" t="s">
        <v>16</v>
      </c>
      <c r="D12" t="s">
        <v>389</v>
      </c>
      <c r="E12" t="s">
        <v>22</v>
      </c>
      <c r="F12" t="s">
        <v>16</v>
      </c>
      <c r="G12">
        <v>3091</v>
      </c>
      <c r="H12">
        <v>0</v>
      </c>
      <c r="I12">
        <v>90</v>
      </c>
      <c r="J12">
        <v>360</v>
      </c>
      <c r="K12">
        <v>1</v>
      </c>
      <c r="L12" t="s">
        <v>17</v>
      </c>
      <c r="M12" t="str">
        <f t="shared" si="0"/>
        <v>Approved</v>
      </c>
      <c r="N12">
        <f t="shared" si="1"/>
        <v>3091</v>
      </c>
      <c r="O12">
        <f t="shared" si="2"/>
        <v>1</v>
      </c>
    </row>
    <row r="13" spans="1:17" x14ac:dyDescent="0.25">
      <c r="A13" t="s">
        <v>32</v>
      </c>
      <c r="B13" t="s">
        <v>13</v>
      </c>
      <c r="C13" t="s">
        <v>14</v>
      </c>
      <c r="D13" t="s">
        <v>389</v>
      </c>
      <c r="E13" t="s">
        <v>15</v>
      </c>
      <c r="G13">
        <v>2185</v>
      </c>
      <c r="H13">
        <v>1516</v>
      </c>
      <c r="I13">
        <v>162</v>
      </c>
      <c r="J13">
        <v>360</v>
      </c>
      <c r="K13">
        <v>1</v>
      </c>
      <c r="L13" t="s">
        <v>26</v>
      </c>
      <c r="M13" t="str">
        <f t="shared" si="0"/>
        <v>Rejected</v>
      </c>
      <c r="N13">
        <f t="shared" si="1"/>
        <v>3701</v>
      </c>
      <c r="O13">
        <f t="shared" si="2"/>
        <v>0</v>
      </c>
    </row>
    <row r="14" spans="1:17" x14ac:dyDescent="0.25">
      <c r="A14" t="s">
        <v>33</v>
      </c>
      <c r="B14" t="s">
        <v>13</v>
      </c>
      <c r="C14" t="s">
        <v>16</v>
      </c>
      <c r="D14" t="s">
        <v>389</v>
      </c>
      <c r="E14" t="s">
        <v>15</v>
      </c>
      <c r="F14" t="s">
        <v>16</v>
      </c>
      <c r="G14">
        <v>4166</v>
      </c>
      <c r="H14">
        <v>0</v>
      </c>
      <c r="I14">
        <v>40</v>
      </c>
      <c r="J14">
        <v>180</v>
      </c>
      <c r="L14" t="s">
        <v>17</v>
      </c>
      <c r="M14" t="str">
        <f t="shared" si="0"/>
        <v>Rejected</v>
      </c>
      <c r="N14">
        <f t="shared" si="1"/>
        <v>4166</v>
      </c>
      <c r="O14">
        <f t="shared" si="2"/>
        <v>0</v>
      </c>
      <c r="Q14" t="s">
        <v>429</v>
      </c>
    </row>
    <row r="15" spans="1:17" x14ac:dyDescent="0.25">
      <c r="A15" t="s">
        <v>35</v>
      </c>
      <c r="B15" t="s">
        <v>13</v>
      </c>
      <c r="C15" t="s">
        <v>14</v>
      </c>
      <c r="D15" t="s">
        <v>391</v>
      </c>
      <c r="E15" t="s">
        <v>15</v>
      </c>
      <c r="G15">
        <v>12173</v>
      </c>
      <c r="H15">
        <v>0</v>
      </c>
      <c r="I15">
        <v>166</v>
      </c>
      <c r="J15">
        <v>360</v>
      </c>
      <c r="K15">
        <v>0</v>
      </c>
      <c r="L15" t="s">
        <v>26</v>
      </c>
      <c r="M15" t="str">
        <f t="shared" si="0"/>
        <v>Rejected</v>
      </c>
      <c r="N15">
        <f t="shared" si="1"/>
        <v>12173</v>
      </c>
      <c r="O15">
        <f t="shared" si="2"/>
        <v>0</v>
      </c>
      <c r="Q15">
        <f>Q5/Q11</f>
        <v>0.4877384196185286</v>
      </c>
    </row>
    <row r="16" spans="1:17" x14ac:dyDescent="0.25">
      <c r="A16" t="s">
        <v>36</v>
      </c>
      <c r="B16" t="s">
        <v>25</v>
      </c>
      <c r="C16" t="s">
        <v>16</v>
      </c>
      <c r="D16" t="s">
        <v>389</v>
      </c>
      <c r="E16" t="s">
        <v>15</v>
      </c>
      <c r="F16" t="s">
        <v>16</v>
      </c>
      <c r="G16">
        <v>4666</v>
      </c>
      <c r="H16">
        <v>0</v>
      </c>
      <c r="I16">
        <v>124</v>
      </c>
      <c r="J16">
        <v>360</v>
      </c>
      <c r="K16">
        <v>1</v>
      </c>
      <c r="L16" t="s">
        <v>26</v>
      </c>
      <c r="M16" t="str">
        <f t="shared" si="0"/>
        <v>Approved</v>
      </c>
      <c r="N16">
        <f t="shared" si="1"/>
        <v>4666</v>
      </c>
      <c r="O16">
        <f t="shared" si="2"/>
        <v>1</v>
      </c>
    </row>
    <row r="17" spans="1:17" x14ac:dyDescent="0.25">
      <c r="A17" t="s">
        <v>37</v>
      </c>
      <c r="B17" t="s">
        <v>13</v>
      </c>
      <c r="C17" t="s">
        <v>16</v>
      </c>
      <c r="D17" t="s">
        <v>389</v>
      </c>
      <c r="E17" t="s">
        <v>15</v>
      </c>
      <c r="F17" t="s">
        <v>16</v>
      </c>
      <c r="G17">
        <v>5667</v>
      </c>
      <c r="H17">
        <v>0</v>
      </c>
      <c r="I17">
        <v>131</v>
      </c>
      <c r="J17">
        <v>360</v>
      </c>
      <c r="K17">
        <v>1</v>
      </c>
      <c r="L17" t="s">
        <v>17</v>
      </c>
      <c r="M17" t="str">
        <f t="shared" si="0"/>
        <v>Approved</v>
      </c>
      <c r="N17">
        <f t="shared" si="1"/>
        <v>5667</v>
      </c>
      <c r="O17">
        <f t="shared" si="2"/>
        <v>1</v>
      </c>
    </row>
    <row r="18" spans="1:17" x14ac:dyDescent="0.25">
      <c r="A18" t="s">
        <v>38</v>
      </c>
      <c r="B18" t="s">
        <v>13</v>
      </c>
      <c r="C18" t="s">
        <v>14</v>
      </c>
      <c r="D18" t="s">
        <v>389</v>
      </c>
      <c r="E18" t="s">
        <v>15</v>
      </c>
      <c r="F18" t="s">
        <v>16</v>
      </c>
      <c r="G18">
        <v>4583</v>
      </c>
      <c r="H18">
        <v>2916</v>
      </c>
      <c r="I18">
        <v>200</v>
      </c>
      <c r="J18">
        <v>360</v>
      </c>
      <c r="K18">
        <v>1</v>
      </c>
      <c r="L18" t="s">
        <v>17</v>
      </c>
      <c r="M18" t="str">
        <f t="shared" si="0"/>
        <v>Rejected</v>
      </c>
      <c r="N18">
        <f t="shared" si="1"/>
        <v>7499</v>
      </c>
      <c r="O18">
        <f t="shared" si="2"/>
        <v>0</v>
      </c>
      <c r="Q18" t="s">
        <v>430</v>
      </c>
    </row>
    <row r="19" spans="1:17" x14ac:dyDescent="0.25">
      <c r="A19" t="s">
        <v>39</v>
      </c>
      <c r="B19" t="s">
        <v>13</v>
      </c>
      <c r="C19" t="s">
        <v>14</v>
      </c>
      <c r="D19" t="s">
        <v>389</v>
      </c>
      <c r="E19" t="s">
        <v>15</v>
      </c>
      <c r="F19" t="s">
        <v>16</v>
      </c>
      <c r="G19">
        <v>3786</v>
      </c>
      <c r="H19">
        <v>333</v>
      </c>
      <c r="I19">
        <v>126</v>
      </c>
      <c r="J19">
        <v>360</v>
      </c>
      <c r="K19">
        <v>1</v>
      </c>
      <c r="L19" t="s">
        <v>26</v>
      </c>
      <c r="M19" t="str">
        <f t="shared" si="0"/>
        <v>Approved</v>
      </c>
      <c r="N19">
        <f t="shared" si="1"/>
        <v>4119</v>
      </c>
      <c r="O19">
        <f t="shared" si="2"/>
        <v>1</v>
      </c>
      <c r="Q19">
        <f>AVERAGE(I2:I368)</f>
        <v>136.13259668508286</v>
      </c>
    </row>
    <row r="20" spans="1:17" x14ac:dyDescent="0.25">
      <c r="A20" t="s">
        <v>40</v>
      </c>
      <c r="B20" t="s">
        <v>13</v>
      </c>
      <c r="C20" t="s">
        <v>14</v>
      </c>
      <c r="D20" t="s">
        <v>391</v>
      </c>
      <c r="E20" t="s">
        <v>15</v>
      </c>
      <c r="F20" t="s">
        <v>16</v>
      </c>
      <c r="G20">
        <v>9226</v>
      </c>
      <c r="H20">
        <v>7916</v>
      </c>
      <c r="I20">
        <v>300</v>
      </c>
      <c r="J20">
        <v>360</v>
      </c>
      <c r="K20">
        <v>1</v>
      </c>
      <c r="L20" t="s">
        <v>17</v>
      </c>
      <c r="M20" t="str">
        <f t="shared" si="0"/>
        <v>Rejected</v>
      </c>
      <c r="N20">
        <f t="shared" si="1"/>
        <v>17142</v>
      </c>
      <c r="O20">
        <f t="shared" si="2"/>
        <v>0</v>
      </c>
    </row>
    <row r="21" spans="1:17" x14ac:dyDescent="0.25">
      <c r="A21" t="s">
        <v>41</v>
      </c>
      <c r="B21" t="s">
        <v>13</v>
      </c>
      <c r="C21" t="s">
        <v>16</v>
      </c>
      <c r="D21" t="s">
        <v>389</v>
      </c>
      <c r="E21" t="s">
        <v>15</v>
      </c>
      <c r="F21" t="s">
        <v>16</v>
      </c>
      <c r="G21">
        <v>1300</v>
      </c>
      <c r="H21">
        <v>3470</v>
      </c>
      <c r="I21">
        <v>100</v>
      </c>
      <c r="J21">
        <v>180</v>
      </c>
      <c r="K21">
        <v>1</v>
      </c>
      <c r="L21" t="s">
        <v>26</v>
      </c>
      <c r="M21" t="str">
        <f t="shared" si="0"/>
        <v>Rejected</v>
      </c>
      <c r="N21">
        <f t="shared" si="1"/>
        <v>4770</v>
      </c>
      <c r="O21">
        <f t="shared" si="2"/>
        <v>0</v>
      </c>
    </row>
    <row r="22" spans="1:17" x14ac:dyDescent="0.25">
      <c r="A22" t="s">
        <v>42</v>
      </c>
      <c r="B22" t="s">
        <v>13</v>
      </c>
      <c r="C22" t="s">
        <v>14</v>
      </c>
      <c r="D22" t="s">
        <v>389</v>
      </c>
      <c r="E22" t="s">
        <v>22</v>
      </c>
      <c r="F22" t="s">
        <v>16</v>
      </c>
      <c r="G22">
        <v>1888</v>
      </c>
      <c r="H22">
        <v>1620</v>
      </c>
      <c r="I22">
        <v>48</v>
      </c>
      <c r="J22">
        <v>360</v>
      </c>
      <c r="K22">
        <v>1</v>
      </c>
      <c r="L22" t="s">
        <v>17</v>
      </c>
      <c r="M22" t="str">
        <f t="shared" si="0"/>
        <v>Rejected</v>
      </c>
      <c r="N22">
        <f t="shared" si="1"/>
        <v>3508</v>
      </c>
      <c r="O22">
        <f t="shared" si="2"/>
        <v>0</v>
      </c>
    </row>
    <row r="23" spans="1:17" x14ac:dyDescent="0.25">
      <c r="A23" t="s">
        <v>43</v>
      </c>
      <c r="B23" t="s">
        <v>25</v>
      </c>
      <c r="C23" t="s">
        <v>16</v>
      </c>
      <c r="D23" t="s">
        <v>389</v>
      </c>
      <c r="E23" t="s">
        <v>22</v>
      </c>
      <c r="F23" t="s">
        <v>16</v>
      </c>
      <c r="G23">
        <v>2083</v>
      </c>
      <c r="H23">
        <v>0</v>
      </c>
      <c r="I23">
        <v>28</v>
      </c>
      <c r="J23">
        <v>180</v>
      </c>
      <c r="K23">
        <v>1</v>
      </c>
      <c r="L23" t="s">
        <v>17</v>
      </c>
      <c r="M23" t="str">
        <f t="shared" si="0"/>
        <v>Rejected</v>
      </c>
      <c r="N23">
        <f t="shared" si="1"/>
        <v>2083</v>
      </c>
      <c r="O23">
        <f t="shared" si="2"/>
        <v>0</v>
      </c>
    </row>
    <row r="24" spans="1:17" x14ac:dyDescent="0.25">
      <c r="A24" t="s">
        <v>44</v>
      </c>
      <c r="C24" t="s">
        <v>16</v>
      </c>
      <c r="D24" t="s">
        <v>389</v>
      </c>
      <c r="E24" t="s">
        <v>15</v>
      </c>
      <c r="F24" t="s">
        <v>16</v>
      </c>
      <c r="G24">
        <v>3909</v>
      </c>
      <c r="H24">
        <v>0</v>
      </c>
      <c r="I24">
        <v>101</v>
      </c>
      <c r="J24">
        <v>360</v>
      </c>
      <c r="K24">
        <v>1</v>
      </c>
      <c r="L24" t="s">
        <v>17</v>
      </c>
      <c r="M24" t="str">
        <f t="shared" si="0"/>
        <v>Approved</v>
      </c>
      <c r="N24">
        <f t="shared" si="1"/>
        <v>3909</v>
      </c>
      <c r="O24">
        <f t="shared" si="2"/>
        <v>1</v>
      </c>
    </row>
    <row r="25" spans="1:17" x14ac:dyDescent="0.25">
      <c r="A25" t="s">
        <v>45</v>
      </c>
      <c r="B25" t="s">
        <v>25</v>
      </c>
      <c r="C25" t="s">
        <v>16</v>
      </c>
      <c r="D25" t="s">
        <v>389</v>
      </c>
      <c r="E25" t="s">
        <v>22</v>
      </c>
      <c r="F25" t="s">
        <v>16</v>
      </c>
      <c r="G25">
        <v>3765</v>
      </c>
      <c r="H25">
        <v>0</v>
      </c>
      <c r="I25">
        <v>125</v>
      </c>
      <c r="J25">
        <v>360</v>
      </c>
      <c r="K25">
        <v>1</v>
      </c>
      <c r="L25" t="s">
        <v>17</v>
      </c>
      <c r="M25" t="str">
        <f t="shared" si="0"/>
        <v>Approved</v>
      </c>
      <c r="N25">
        <f t="shared" si="1"/>
        <v>3765</v>
      </c>
      <c r="O25">
        <f t="shared" si="2"/>
        <v>1</v>
      </c>
    </row>
    <row r="26" spans="1:17" x14ac:dyDescent="0.25">
      <c r="A26" t="s">
        <v>46</v>
      </c>
      <c r="B26" t="s">
        <v>13</v>
      </c>
      <c r="C26" t="s">
        <v>14</v>
      </c>
      <c r="D26" t="s">
        <v>389</v>
      </c>
      <c r="E26" t="s">
        <v>15</v>
      </c>
      <c r="F26" t="s">
        <v>16</v>
      </c>
      <c r="G26">
        <v>5400</v>
      </c>
      <c r="H26">
        <v>4380</v>
      </c>
      <c r="I26">
        <v>290</v>
      </c>
      <c r="J26">
        <v>360</v>
      </c>
      <c r="K26">
        <v>1</v>
      </c>
      <c r="L26" t="s">
        <v>17</v>
      </c>
      <c r="M26" t="str">
        <f t="shared" si="0"/>
        <v>Rejected</v>
      </c>
      <c r="N26">
        <f t="shared" si="1"/>
        <v>9780</v>
      </c>
      <c r="O26">
        <f t="shared" si="2"/>
        <v>0</v>
      </c>
    </row>
    <row r="27" spans="1:17" x14ac:dyDescent="0.25">
      <c r="A27" t="s">
        <v>47</v>
      </c>
      <c r="B27" t="s">
        <v>13</v>
      </c>
      <c r="C27" t="s">
        <v>16</v>
      </c>
      <c r="D27" t="s">
        <v>389</v>
      </c>
      <c r="E27" t="s">
        <v>15</v>
      </c>
      <c r="F27" t="s">
        <v>16</v>
      </c>
      <c r="G27">
        <v>0</v>
      </c>
      <c r="H27">
        <v>24000</v>
      </c>
      <c r="I27">
        <v>148</v>
      </c>
      <c r="J27">
        <v>360</v>
      </c>
      <c r="K27">
        <v>0</v>
      </c>
      <c r="L27" t="s">
        <v>28</v>
      </c>
      <c r="M27" t="str">
        <f t="shared" si="0"/>
        <v>Rejected</v>
      </c>
      <c r="N27">
        <f t="shared" si="1"/>
        <v>24000</v>
      </c>
      <c r="O27">
        <f t="shared" si="2"/>
        <v>0</v>
      </c>
    </row>
    <row r="28" spans="1:17" x14ac:dyDescent="0.25">
      <c r="A28" t="s">
        <v>48</v>
      </c>
      <c r="B28" t="s">
        <v>13</v>
      </c>
      <c r="C28" t="s">
        <v>14</v>
      </c>
      <c r="D28" t="s">
        <v>389</v>
      </c>
      <c r="E28" t="s">
        <v>15</v>
      </c>
      <c r="F28" t="s">
        <v>16</v>
      </c>
      <c r="G28">
        <v>4363</v>
      </c>
      <c r="H28">
        <v>1250</v>
      </c>
      <c r="I28">
        <v>140</v>
      </c>
      <c r="J28">
        <v>360</v>
      </c>
      <c r="L28" t="s">
        <v>17</v>
      </c>
      <c r="M28" t="str">
        <f t="shared" si="0"/>
        <v>Rejected</v>
      </c>
      <c r="N28">
        <f t="shared" si="1"/>
        <v>5613</v>
      </c>
      <c r="O28">
        <f t="shared" si="2"/>
        <v>0</v>
      </c>
    </row>
    <row r="29" spans="1:17" x14ac:dyDescent="0.25">
      <c r="A29" t="s">
        <v>49</v>
      </c>
      <c r="B29" t="s">
        <v>13</v>
      </c>
      <c r="C29" t="s">
        <v>14</v>
      </c>
      <c r="D29" t="s">
        <v>389</v>
      </c>
      <c r="E29" t="s">
        <v>15</v>
      </c>
      <c r="F29" t="s">
        <v>16</v>
      </c>
      <c r="G29">
        <v>7500</v>
      </c>
      <c r="H29">
        <v>3750</v>
      </c>
      <c r="I29">
        <v>275</v>
      </c>
      <c r="J29">
        <v>360</v>
      </c>
      <c r="K29">
        <v>1</v>
      </c>
      <c r="L29" t="s">
        <v>17</v>
      </c>
      <c r="M29" t="str">
        <f t="shared" si="0"/>
        <v>Rejected</v>
      </c>
      <c r="N29">
        <f t="shared" si="1"/>
        <v>11250</v>
      </c>
      <c r="O29">
        <f t="shared" si="2"/>
        <v>0</v>
      </c>
    </row>
    <row r="30" spans="1:17" x14ac:dyDescent="0.25">
      <c r="A30" t="s">
        <v>50</v>
      </c>
      <c r="B30" t="s">
        <v>13</v>
      </c>
      <c r="C30" t="s">
        <v>14</v>
      </c>
      <c r="D30" t="s">
        <v>392</v>
      </c>
      <c r="E30" t="s">
        <v>15</v>
      </c>
      <c r="F30" t="s">
        <v>16</v>
      </c>
      <c r="G30">
        <v>3772</v>
      </c>
      <c r="H30">
        <v>833</v>
      </c>
      <c r="I30">
        <v>57</v>
      </c>
      <c r="J30">
        <v>360</v>
      </c>
      <c r="L30" t="s">
        <v>26</v>
      </c>
      <c r="M30" t="str">
        <f t="shared" si="0"/>
        <v>Rejected</v>
      </c>
      <c r="N30">
        <f t="shared" si="1"/>
        <v>4605</v>
      </c>
      <c r="O30">
        <f t="shared" si="2"/>
        <v>0</v>
      </c>
    </row>
    <row r="31" spans="1:17" x14ac:dyDescent="0.25">
      <c r="A31" t="s">
        <v>51</v>
      </c>
      <c r="B31" t="s">
        <v>13</v>
      </c>
      <c r="C31" t="s">
        <v>16</v>
      </c>
      <c r="D31" t="s">
        <v>389</v>
      </c>
      <c r="E31" t="s">
        <v>15</v>
      </c>
      <c r="F31" t="s">
        <v>16</v>
      </c>
      <c r="G31">
        <v>2942</v>
      </c>
      <c r="H31">
        <v>2382</v>
      </c>
      <c r="I31">
        <v>125</v>
      </c>
      <c r="J31">
        <v>180</v>
      </c>
      <c r="K31">
        <v>1</v>
      </c>
      <c r="L31" t="s">
        <v>17</v>
      </c>
      <c r="M31" t="str">
        <f t="shared" si="0"/>
        <v>Rejected</v>
      </c>
      <c r="N31">
        <f t="shared" si="1"/>
        <v>5324</v>
      </c>
      <c r="O31">
        <f t="shared" si="2"/>
        <v>0</v>
      </c>
    </row>
    <row r="32" spans="1:17" x14ac:dyDescent="0.25">
      <c r="A32" t="s">
        <v>52</v>
      </c>
      <c r="B32" t="s">
        <v>25</v>
      </c>
      <c r="C32" t="s">
        <v>16</v>
      </c>
      <c r="D32" t="s">
        <v>389</v>
      </c>
      <c r="E32" t="s">
        <v>22</v>
      </c>
      <c r="F32" t="s">
        <v>16</v>
      </c>
      <c r="G32">
        <v>2478</v>
      </c>
      <c r="H32">
        <v>0</v>
      </c>
      <c r="I32">
        <v>75</v>
      </c>
      <c r="J32">
        <v>360</v>
      </c>
      <c r="K32">
        <v>1</v>
      </c>
      <c r="L32" t="s">
        <v>26</v>
      </c>
      <c r="M32" t="str">
        <f t="shared" si="0"/>
        <v>Rejected</v>
      </c>
      <c r="N32">
        <f t="shared" si="1"/>
        <v>2478</v>
      </c>
      <c r="O32">
        <f t="shared" si="2"/>
        <v>0</v>
      </c>
    </row>
    <row r="33" spans="1:15" x14ac:dyDescent="0.25">
      <c r="A33" t="s">
        <v>53</v>
      </c>
      <c r="B33" t="s">
        <v>13</v>
      </c>
      <c r="C33" t="s">
        <v>14</v>
      </c>
      <c r="D33" t="s">
        <v>34</v>
      </c>
      <c r="E33" t="s">
        <v>15</v>
      </c>
      <c r="F33" t="s">
        <v>16</v>
      </c>
      <c r="G33">
        <v>6250</v>
      </c>
      <c r="H33">
        <v>820</v>
      </c>
      <c r="I33">
        <v>192</v>
      </c>
      <c r="J33">
        <v>360</v>
      </c>
      <c r="K33">
        <v>1</v>
      </c>
      <c r="L33" t="s">
        <v>17</v>
      </c>
      <c r="M33" t="str">
        <f t="shared" si="0"/>
        <v>Approved</v>
      </c>
      <c r="N33">
        <f t="shared" si="1"/>
        <v>7070</v>
      </c>
      <c r="O33">
        <f t="shared" si="2"/>
        <v>1</v>
      </c>
    </row>
    <row r="34" spans="1:15" x14ac:dyDescent="0.25">
      <c r="A34" t="s">
        <v>54</v>
      </c>
      <c r="B34" t="s">
        <v>13</v>
      </c>
      <c r="C34" t="s">
        <v>16</v>
      </c>
      <c r="D34" t="s">
        <v>390</v>
      </c>
      <c r="E34" t="s">
        <v>15</v>
      </c>
      <c r="F34" t="s">
        <v>16</v>
      </c>
      <c r="G34">
        <v>3268</v>
      </c>
      <c r="H34">
        <v>1683</v>
      </c>
      <c r="I34">
        <v>152</v>
      </c>
      <c r="J34">
        <v>360</v>
      </c>
      <c r="K34">
        <v>1</v>
      </c>
      <c r="L34" t="s">
        <v>26</v>
      </c>
      <c r="M34" t="str">
        <f t="shared" si="0"/>
        <v>Approved</v>
      </c>
      <c r="N34">
        <f t="shared" si="1"/>
        <v>4951</v>
      </c>
      <c r="O34">
        <f t="shared" si="2"/>
        <v>1</v>
      </c>
    </row>
    <row r="35" spans="1:15" x14ac:dyDescent="0.25">
      <c r="A35" t="s">
        <v>55</v>
      </c>
      <c r="B35" t="s">
        <v>13</v>
      </c>
      <c r="C35" t="s">
        <v>14</v>
      </c>
      <c r="D35" t="s">
        <v>34</v>
      </c>
      <c r="E35" t="s">
        <v>15</v>
      </c>
      <c r="F35" t="s">
        <v>16</v>
      </c>
      <c r="G35">
        <v>2783</v>
      </c>
      <c r="H35">
        <v>2708</v>
      </c>
      <c r="I35">
        <v>158</v>
      </c>
      <c r="J35">
        <v>360</v>
      </c>
      <c r="K35">
        <v>1</v>
      </c>
      <c r="L35" t="s">
        <v>17</v>
      </c>
      <c r="M35" t="str">
        <f t="shared" si="0"/>
        <v>Rejected</v>
      </c>
      <c r="N35">
        <f t="shared" si="1"/>
        <v>5491</v>
      </c>
      <c r="O35">
        <f t="shared" si="2"/>
        <v>0</v>
      </c>
    </row>
    <row r="36" spans="1:15" x14ac:dyDescent="0.25">
      <c r="A36" t="s">
        <v>56</v>
      </c>
      <c r="B36" t="s">
        <v>13</v>
      </c>
      <c r="C36" t="s">
        <v>14</v>
      </c>
      <c r="D36" t="s">
        <v>390</v>
      </c>
      <c r="E36" t="s">
        <v>15</v>
      </c>
      <c r="F36" t="s">
        <v>16</v>
      </c>
      <c r="G36">
        <v>2740</v>
      </c>
      <c r="H36">
        <v>1541</v>
      </c>
      <c r="I36">
        <v>101</v>
      </c>
      <c r="J36">
        <v>360</v>
      </c>
      <c r="K36">
        <v>1</v>
      </c>
      <c r="L36" t="s">
        <v>17</v>
      </c>
      <c r="M36" t="str">
        <f t="shared" si="0"/>
        <v>Rejected</v>
      </c>
      <c r="N36">
        <f t="shared" si="1"/>
        <v>4281</v>
      </c>
      <c r="O36">
        <f t="shared" si="2"/>
        <v>0</v>
      </c>
    </row>
    <row r="37" spans="1:15" x14ac:dyDescent="0.25">
      <c r="A37" t="s">
        <v>57</v>
      </c>
      <c r="B37" t="s">
        <v>13</v>
      </c>
      <c r="C37" t="s">
        <v>16</v>
      </c>
      <c r="D37" t="s">
        <v>391</v>
      </c>
      <c r="E37" t="s">
        <v>15</v>
      </c>
      <c r="F37" t="s">
        <v>16</v>
      </c>
      <c r="G37">
        <v>3150</v>
      </c>
      <c r="H37">
        <v>0</v>
      </c>
      <c r="I37">
        <v>176</v>
      </c>
      <c r="J37">
        <v>360</v>
      </c>
      <c r="K37">
        <v>0</v>
      </c>
      <c r="L37" t="s">
        <v>26</v>
      </c>
      <c r="M37" t="str">
        <f t="shared" si="0"/>
        <v>Rejected</v>
      </c>
      <c r="N37">
        <f t="shared" si="1"/>
        <v>3150</v>
      </c>
      <c r="O37">
        <f t="shared" si="2"/>
        <v>0</v>
      </c>
    </row>
    <row r="38" spans="1:15" x14ac:dyDescent="0.25">
      <c r="A38" t="s">
        <v>58</v>
      </c>
      <c r="B38" t="s">
        <v>13</v>
      </c>
      <c r="C38" t="s">
        <v>14</v>
      </c>
      <c r="D38" t="s">
        <v>389</v>
      </c>
      <c r="E38" t="s">
        <v>15</v>
      </c>
      <c r="G38">
        <v>7350</v>
      </c>
      <c r="H38">
        <v>4029</v>
      </c>
      <c r="I38">
        <v>185</v>
      </c>
      <c r="J38">
        <v>180</v>
      </c>
      <c r="K38">
        <v>1</v>
      </c>
      <c r="L38" t="s">
        <v>17</v>
      </c>
      <c r="M38" t="str">
        <f t="shared" si="0"/>
        <v>Approved</v>
      </c>
      <c r="N38">
        <f t="shared" si="1"/>
        <v>11379</v>
      </c>
      <c r="O38">
        <f t="shared" si="2"/>
        <v>1</v>
      </c>
    </row>
    <row r="39" spans="1:15" x14ac:dyDescent="0.25">
      <c r="A39" t="s">
        <v>59</v>
      </c>
      <c r="B39" t="s">
        <v>13</v>
      </c>
      <c r="C39" t="s">
        <v>14</v>
      </c>
      <c r="D39" t="s">
        <v>389</v>
      </c>
      <c r="E39" t="s">
        <v>15</v>
      </c>
      <c r="F39" t="s">
        <v>14</v>
      </c>
      <c r="G39">
        <v>2267</v>
      </c>
      <c r="H39">
        <v>2792</v>
      </c>
      <c r="I39">
        <v>90</v>
      </c>
      <c r="J39">
        <v>360</v>
      </c>
      <c r="K39">
        <v>1</v>
      </c>
      <c r="L39" t="s">
        <v>17</v>
      </c>
      <c r="M39" t="str">
        <f t="shared" si="0"/>
        <v>Rejected</v>
      </c>
      <c r="N39">
        <f t="shared" si="1"/>
        <v>5059</v>
      </c>
      <c r="O39">
        <f t="shared" si="2"/>
        <v>0</v>
      </c>
    </row>
    <row r="40" spans="1:15" x14ac:dyDescent="0.25">
      <c r="A40" t="s">
        <v>60</v>
      </c>
      <c r="B40" t="s">
        <v>13</v>
      </c>
      <c r="C40" t="s">
        <v>16</v>
      </c>
      <c r="D40" t="s">
        <v>389</v>
      </c>
      <c r="E40" t="s">
        <v>15</v>
      </c>
      <c r="F40" t="s">
        <v>14</v>
      </c>
      <c r="G40">
        <v>5833</v>
      </c>
      <c r="H40">
        <v>0</v>
      </c>
      <c r="I40">
        <v>116</v>
      </c>
      <c r="J40">
        <v>360</v>
      </c>
      <c r="K40">
        <v>1</v>
      </c>
      <c r="L40" t="s">
        <v>17</v>
      </c>
      <c r="M40" t="str">
        <f t="shared" si="0"/>
        <v>Approved</v>
      </c>
      <c r="N40">
        <f t="shared" si="1"/>
        <v>5833</v>
      </c>
      <c r="O40">
        <f t="shared" si="2"/>
        <v>1</v>
      </c>
    </row>
    <row r="41" spans="1:15" x14ac:dyDescent="0.25">
      <c r="A41" t="s">
        <v>61</v>
      </c>
      <c r="B41" t="s">
        <v>13</v>
      </c>
      <c r="C41" t="s">
        <v>16</v>
      </c>
      <c r="D41" t="s">
        <v>391</v>
      </c>
      <c r="E41" t="s">
        <v>15</v>
      </c>
      <c r="F41" t="s">
        <v>16</v>
      </c>
      <c r="G41">
        <v>3643</v>
      </c>
      <c r="H41">
        <v>1963</v>
      </c>
      <c r="I41">
        <v>138</v>
      </c>
      <c r="J41">
        <v>360</v>
      </c>
      <c r="K41">
        <v>1</v>
      </c>
      <c r="L41" t="s">
        <v>17</v>
      </c>
      <c r="M41" t="str">
        <f t="shared" si="0"/>
        <v>Approved</v>
      </c>
      <c r="N41">
        <f t="shared" si="1"/>
        <v>5606</v>
      </c>
      <c r="O41">
        <f t="shared" si="2"/>
        <v>1</v>
      </c>
    </row>
    <row r="42" spans="1:15" x14ac:dyDescent="0.25">
      <c r="A42" t="s">
        <v>62</v>
      </c>
      <c r="B42" t="s">
        <v>13</v>
      </c>
      <c r="C42" t="s">
        <v>14</v>
      </c>
      <c r="D42" t="s">
        <v>391</v>
      </c>
      <c r="E42" t="s">
        <v>15</v>
      </c>
      <c r="F42" t="s">
        <v>16</v>
      </c>
      <c r="G42">
        <v>5629</v>
      </c>
      <c r="H42">
        <v>818</v>
      </c>
      <c r="I42">
        <v>100</v>
      </c>
      <c r="J42">
        <v>360</v>
      </c>
      <c r="K42">
        <v>1</v>
      </c>
      <c r="L42" t="s">
        <v>17</v>
      </c>
      <c r="M42" t="str">
        <f t="shared" si="0"/>
        <v>Approved</v>
      </c>
      <c r="N42">
        <f t="shared" si="1"/>
        <v>6447</v>
      </c>
      <c r="O42">
        <f t="shared" si="2"/>
        <v>1</v>
      </c>
    </row>
    <row r="43" spans="1:15" x14ac:dyDescent="0.25">
      <c r="A43" t="s">
        <v>63</v>
      </c>
      <c r="B43" t="s">
        <v>25</v>
      </c>
      <c r="C43" t="s">
        <v>16</v>
      </c>
      <c r="D43" t="s">
        <v>34</v>
      </c>
      <c r="E43" t="s">
        <v>15</v>
      </c>
      <c r="F43" t="s">
        <v>16</v>
      </c>
      <c r="G43">
        <v>3644</v>
      </c>
      <c r="H43">
        <v>0</v>
      </c>
      <c r="I43">
        <v>110</v>
      </c>
      <c r="J43">
        <v>360</v>
      </c>
      <c r="K43">
        <v>1</v>
      </c>
      <c r="L43" t="s">
        <v>17</v>
      </c>
      <c r="M43" t="str">
        <f t="shared" si="0"/>
        <v>Approved</v>
      </c>
      <c r="N43">
        <f t="shared" si="1"/>
        <v>3644</v>
      </c>
      <c r="O43">
        <f t="shared" si="2"/>
        <v>1</v>
      </c>
    </row>
    <row r="44" spans="1:15" x14ac:dyDescent="0.25">
      <c r="A44" t="s">
        <v>64</v>
      </c>
      <c r="B44" t="s">
        <v>13</v>
      </c>
      <c r="C44" t="s">
        <v>14</v>
      </c>
      <c r="D44" t="s">
        <v>389</v>
      </c>
      <c r="E44" t="s">
        <v>22</v>
      </c>
      <c r="F44" t="s">
        <v>16</v>
      </c>
      <c r="G44">
        <v>1750</v>
      </c>
      <c r="H44">
        <v>2024</v>
      </c>
      <c r="I44">
        <v>90</v>
      </c>
      <c r="J44">
        <v>360</v>
      </c>
      <c r="K44">
        <v>1</v>
      </c>
      <c r="L44" t="s">
        <v>26</v>
      </c>
      <c r="M44" t="str">
        <f t="shared" si="0"/>
        <v>Rejected</v>
      </c>
      <c r="N44">
        <f t="shared" si="1"/>
        <v>3774</v>
      </c>
      <c r="O44">
        <f t="shared" si="2"/>
        <v>0</v>
      </c>
    </row>
    <row r="45" spans="1:15" x14ac:dyDescent="0.25">
      <c r="A45" t="s">
        <v>65</v>
      </c>
      <c r="B45" t="s">
        <v>13</v>
      </c>
      <c r="C45" t="s">
        <v>16</v>
      </c>
      <c r="D45" t="s">
        <v>389</v>
      </c>
      <c r="E45" t="s">
        <v>15</v>
      </c>
      <c r="F45" t="s">
        <v>16</v>
      </c>
      <c r="G45">
        <v>6500</v>
      </c>
      <c r="H45">
        <v>2600</v>
      </c>
      <c r="I45">
        <v>200</v>
      </c>
      <c r="J45">
        <v>360</v>
      </c>
      <c r="K45">
        <v>1</v>
      </c>
      <c r="L45" t="s">
        <v>26</v>
      </c>
      <c r="M45" t="str">
        <f t="shared" si="0"/>
        <v>Rejected</v>
      </c>
      <c r="N45">
        <f t="shared" si="1"/>
        <v>9100</v>
      </c>
      <c r="O45">
        <f t="shared" si="2"/>
        <v>0</v>
      </c>
    </row>
    <row r="46" spans="1:15" x14ac:dyDescent="0.25">
      <c r="A46" t="s">
        <v>66</v>
      </c>
      <c r="B46" t="s">
        <v>25</v>
      </c>
      <c r="C46" t="s">
        <v>16</v>
      </c>
      <c r="D46" t="s">
        <v>391</v>
      </c>
      <c r="E46" t="s">
        <v>15</v>
      </c>
      <c r="F46" t="s">
        <v>16</v>
      </c>
      <c r="G46">
        <v>3666</v>
      </c>
      <c r="H46">
        <v>0</v>
      </c>
      <c r="I46">
        <v>84</v>
      </c>
      <c r="J46">
        <v>360</v>
      </c>
      <c r="K46">
        <v>1</v>
      </c>
      <c r="L46" t="s">
        <v>17</v>
      </c>
      <c r="M46" t="str">
        <f t="shared" si="0"/>
        <v>Approved</v>
      </c>
      <c r="N46">
        <f t="shared" si="1"/>
        <v>3666</v>
      </c>
      <c r="O46">
        <f t="shared" si="2"/>
        <v>1</v>
      </c>
    </row>
    <row r="47" spans="1:15" x14ac:dyDescent="0.25">
      <c r="A47" t="s">
        <v>67</v>
      </c>
      <c r="B47" t="s">
        <v>13</v>
      </c>
      <c r="C47" t="s">
        <v>14</v>
      </c>
      <c r="D47" t="s">
        <v>389</v>
      </c>
      <c r="E47" t="s">
        <v>15</v>
      </c>
      <c r="F47" t="s">
        <v>16</v>
      </c>
      <c r="G47">
        <v>4260</v>
      </c>
      <c r="H47">
        <v>3900</v>
      </c>
      <c r="I47">
        <v>185</v>
      </c>
      <c r="L47" t="s">
        <v>17</v>
      </c>
      <c r="M47" t="str">
        <f t="shared" si="0"/>
        <v>Rejected</v>
      </c>
      <c r="N47">
        <f t="shared" si="1"/>
        <v>8160</v>
      </c>
      <c r="O47">
        <f t="shared" si="2"/>
        <v>0</v>
      </c>
    </row>
    <row r="48" spans="1:15" x14ac:dyDescent="0.25">
      <c r="A48" t="s">
        <v>68</v>
      </c>
      <c r="B48" t="s">
        <v>13</v>
      </c>
      <c r="C48" t="s">
        <v>14</v>
      </c>
      <c r="D48" t="s">
        <v>34</v>
      </c>
      <c r="E48" t="s">
        <v>22</v>
      </c>
      <c r="F48" t="s">
        <v>16</v>
      </c>
      <c r="G48">
        <v>4163</v>
      </c>
      <c r="H48">
        <v>1475</v>
      </c>
      <c r="I48">
        <v>162</v>
      </c>
      <c r="J48">
        <v>360</v>
      </c>
      <c r="K48">
        <v>1</v>
      </c>
      <c r="L48" t="s">
        <v>17</v>
      </c>
      <c r="M48" t="str">
        <f t="shared" si="0"/>
        <v>Approved</v>
      </c>
      <c r="N48">
        <f t="shared" si="1"/>
        <v>5638</v>
      </c>
      <c r="O48">
        <f t="shared" si="2"/>
        <v>1</v>
      </c>
    </row>
    <row r="49" spans="1:15" x14ac:dyDescent="0.25">
      <c r="A49" t="s">
        <v>69</v>
      </c>
      <c r="B49" t="s">
        <v>13</v>
      </c>
      <c r="C49" t="s">
        <v>16</v>
      </c>
      <c r="D49" t="s">
        <v>389</v>
      </c>
      <c r="E49" t="s">
        <v>22</v>
      </c>
      <c r="F49" t="s">
        <v>16</v>
      </c>
      <c r="G49">
        <v>2356</v>
      </c>
      <c r="H49">
        <v>1902</v>
      </c>
      <c r="I49">
        <v>108</v>
      </c>
      <c r="J49">
        <v>360</v>
      </c>
      <c r="K49">
        <v>1</v>
      </c>
      <c r="L49" t="s">
        <v>26</v>
      </c>
      <c r="M49" t="str">
        <f t="shared" si="0"/>
        <v>Rejected</v>
      </c>
      <c r="N49">
        <f t="shared" si="1"/>
        <v>4258</v>
      </c>
      <c r="O49">
        <f t="shared" si="2"/>
        <v>0</v>
      </c>
    </row>
    <row r="50" spans="1:15" x14ac:dyDescent="0.25">
      <c r="A50" t="s">
        <v>70</v>
      </c>
      <c r="B50" t="s">
        <v>13</v>
      </c>
      <c r="C50" t="s">
        <v>16</v>
      </c>
      <c r="D50" t="s">
        <v>389</v>
      </c>
      <c r="E50" t="s">
        <v>15</v>
      </c>
      <c r="F50" t="s">
        <v>16</v>
      </c>
      <c r="G50">
        <v>6792</v>
      </c>
      <c r="H50">
        <v>3338</v>
      </c>
      <c r="I50">
        <v>187</v>
      </c>
      <c r="K50">
        <v>1</v>
      </c>
      <c r="L50" t="s">
        <v>17</v>
      </c>
      <c r="M50" t="str">
        <f t="shared" si="0"/>
        <v>Approved</v>
      </c>
      <c r="N50">
        <f t="shared" si="1"/>
        <v>10130</v>
      </c>
      <c r="O50">
        <f t="shared" si="2"/>
        <v>1</v>
      </c>
    </row>
    <row r="51" spans="1:15" x14ac:dyDescent="0.25">
      <c r="A51" t="s">
        <v>71</v>
      </c>
      <c r="B51" t="s">
        <v>13</v>
      </c>
      <c r="C51" t="s">
        <v>14</v>
      </c>
      <c r="D51" t="s">
        <v>389</v>
      </c>
      <c r="E51" t="s">
        <v>22</v>
      </c>
      <c r="F51" t="s">
        <v>14</v>
      </c>
      <c r="G51">
        <v>8000</v>
      </c>
      <c r="H51">
        <v>250</v>
      </c>
      <c r="I51">
        <v>187</v>
      </c>
      <c r="J51">
        <v>360</v>
      </c>
      <c r="K51">
        <v>1</v>
      </c>
      <c r="L51" t="s">
        <v>26</v>
      </c>
      <c r="M51" t="str">
        <f t="shared" si="0"/>
        <v>Approved</v>
      </c>
      <c r="N51">
        <f t="shared" si="1"/>
        <v>8250</v>
      </c>
      <c r="O51">
        <f t="shared" si="2"/>
        <v>1</v>
      </c>
    </row>
    <row r="52" spans="1:15" x14ac:dyDescent="0.25">
      <c r="A52" t="s">
        <v>72</v>
      </c>
      <c r="B52" t="s">
        <v>13</v>
      </c>
      <c r="C52" t="s">
        <v>14</v>
      </c>
      <c r="D52" t="s">
        <v>389</v>
      </c>
      <c r="E52" t="s">
        <v>15</v>
      </c>
      <c r="F52" t="s">
        <v>16</v>
      </c>
      <c r="G52">
        <v>2419</v>
      </c>
      <c r="H52">
        <v>1707</v>
      </c>
      <c r="I52">
        <v>124</v>
      </c>
      <c r="J52">
        <v>360</v>
      </c>
      <c r="K52">
        <v>1</v>
      </c>
      <c r="L52" t="s">
        <v>17</v>
      </c>
      <c r="M52" t="str">
        <f t="shared" si="0"/>
        <v>Rejected</v>
      </c>
      <c r="N52">
        <f t="shared" si="1"/>
        <v>4126</v>
      </c>
      <c r="O52">
        <f t="shared" si="2"/>
        <v>0</v>
      </c>
    </row>
    <row r="53" spans="1:15" x14ac:dyDescent="0.25">
      <c r="A53" t="s">
        <v>73</v>
      </c>
      <c r="C53" t="s">
        <v>14</v>
      </c>
      <c r="D53" t="s">
        <v>389</v>
      </c>
      <c r="E53" t="s">
        <v>22</v>
      </c>
      <c r="F53" t="s">
        <v>16</v>
      </c>
      <c r="G53">
        <v>3500</v>
      </c>
      <c r="H53">
        <v>833</v>
      </c>
      <c r="I53">
        <v>120</v>
      </c>
      <c r="J53">
        <v>360</v>
      </c>
      <c r="K53">
        <v>1</v>
      </c>
      <c r="L53" t="s">
        <v>26</v>
      </c>
      <c r="M53" t="str">
        <f t="shared" si="0"/>
        <v>Approved</v>
      </c>
      <c r="N53">
        <f t="shared" si="1"/>
        <v>4333</v>
      </c>
      <c r="O53">
        <f t="shared" si="2"/>
        <v>1</v>
      </c>
    </row>
    <row r="54" spans="1:15" x14ac:dyDescent="0.25">
      <c r="A54" t="s">
        <v>74</v>
      </c>
      <c r="B54" t="s">
        <v>13</v>
      </c>
      <c r="C54" t="s">
        <v>14</v>
      </c>
      <c r="D54" t="s">
        <v>392</v>
      </c>
      <c r="E54" t="s">
        <v>15</v>
      </c>
      <c r="F54" t="s">
        <v>16</v>
      </c>
      <c r="G54">
        <v>3500</v>
      </c>
      <c r="H54">
        <v>3077</v>
      </c>
      <c r="I54">
        <v>160</v>
      </c>
      <c r="J54">
        <v>360</v>
      </c>
      <c r="K54">
        <v>1</v>
      </c>
      <c r="L54" t="s">
        <v>26</v>
      </c>
      <c r="M54" t="str">
        <f t="shared" si="0"/>
        <v>Approved</v>
      </c>
      <c r="N54">
        <f t="shared" si="1"/>
        <v>6577</v>
      </c>
      <c r="O54">
        <f t="shared" si="2"/>
        <v>1</v>
      </c>
    </row>
    <row r="55" spans="1:15" x14ac:dyDescent="0.25">
      <c r="A55" t="s">
        <v>75</v>
      </c>
      <c r="B55" t="s">
        <v>13</v>
      </c>
      <c r="C55" t="s">
        <v>14</v>
      </c>
      <c r="D55" t="s">
        <v>389</v>
      </c>
      <c r="E55" t="s">
        <v>15</v>
      </c>
      <c r="F55" t="s">
        <v>16</v>
      </c>
      <c r="G55">
        <v>4116</v>
      </c>
      <c r="H55">
        <v>1000</v>
      </c>
      <c r="I55">
        <v>30</v>
      </c>
      <c r="J55">
        <v>180</v>
      </c>
      <c r="K55">
        <v>1</v>
      </c>
      <c r="L55" t="s">
        <v>17</v>
      </c>
      <c r="M55" t="str">
        <f t="shared" si="0"/>
        <v>Approved</v>
      </c>
      <c r="N55">
        <f t="shared" si="1"/>
        <v>5116</v>
      </c>
      <c r="O55">
        <f t="shared" si="2"/>
        <v>1</v>
      </c>
    </row>
    <row r="56" spans="1:15" x14ac:dyDescent="0.25">
      <c r="A56" t="s">
        <v>76</v>
      </c>
      <c r="B56" t="s">
        <v>13</v>
      </c>
      <c r="C56" t="s">
        <v>14</v>
      </c>
      <c r="D56" t="s">
        <v>390</v>
      </c>
      <c r="E56" t="s">
        <v>22</v>
      </c>
      <c r="F56" t="s">
        <v>14</v>
      </c>
      <c r="G56">
        <v>5293</v>
      </c>
      <c r="H56">
        <v>0</v>
      </c>
      <c r="I56">
        <v>92</v>
      </c>
      <c r="J56">
        <v>360</v>
      </c>
      <c r="K56">
        <v>1</v>
      </c>
      <c r="L56" t="s">
        <v>17</v>
      </c>
      <c r="M56" t="str">
        <f t="shared" si="0"/>
        <v>Approved</v>
      </c>
      <c r="N56">
        <f t="shared" si="1"/>
        <v>5293</v>
      </c>
      <c r="O56">
        <f t="shared" si="2"/>
        <v>1</v>
      </c>
    </row>
    <row r="57" spans="1:15" x14ac:dyDescent="0.25">
      <c r="A57" t="s">
        <v>77</v>
      </c>
      <c r="B57" t="s">
        <v>13</v>
      </c>
      <c r="C57" t="s">
        <v>16</v>
      </c>
      <c r="D57" t="s">
        <v>389</v>
      </c>
      <c r="E57" t="s">
        <v>15</v>
      </c>
      <c r="F57" t="s">
        <v>16</v>
      </c>
      <c r="G57">
        <v>2750</v>
      </c>
      <c r="H57">
        <v>0</v>
      </c>
      <c r="I57">
        <v>130</v>
      </c>
      <c r="J57">
        <v>360</v>
      </c>
      <c r="K57">
        <v>0</v>
      </c>
      <c r="L57" t="s">
        <v>17</v>
      </c>
      <c r="M57" t="str">
        <f t="shared" si="0"/>
        <v>Rejected</v>
      </c>
      <c r="N57">
        <f t="shared" si="1"/>
        <v>2750</v>
      </c>
      <c r="O57">
        <f t="shared" si="2"/>
        <v>0</v>
      </c>
    </row>
    <row r="58" spans="1:15" x14ac:dyDescent="0.25">
      <c r="A58" t="s">
        <v>78</v>
      </c>
      <c r="B58" t="s">
        <v>25</v>
      </c>
      <c r="C58" t="s">
        <v>16</v>
      </c>
      <c r="D58" t="s">
        <v>389</v>
      </c>
      <c r="E58" t="s">
        <v>22</v>
      </c>
      <c r="F58" t="s">
        <v>16</v>
      </c>
      <c r="G58">
        <v>4402</v>
      </c>
      <c r="H58">
        <v>0</v>
      </c>
      <c r="I58">
        <v>130</v>
      </c>
      <c r="J58">
        <v>360</v>
      </c>
      <c r="K58">
        <v>1</v>
      </c>
      <c r="L58" t="s">
        <v>28</v>
      </c>
      <c r="M58" t="str">
        <f t="shared" si="0"/>
        <v>Approved</v>
      </c>
      <c r="N58">
        <f t="shared" si="1"/>
        <v>4402</v>
      </c>
      <c r="O58">
        <f t="shared" si="2"/>
        <v>1</v>
      </c>
    </row>
    <row r="59" spans="1:15" x14ac:dyDescent="0.25">
      <c r="A59" t="s">
        <v>79</v>
      </c>
      <c r="B59" t="s">
        <v>13</v>
      </c>
      <c r="C59" t="s">
        <v>14</v>
      </c>
      <c r="D59" t="s">
        <v>389</v>
      </c>
      <c r="E59" t="s">
        <v>15</v>
      </c>
      <c r="F59" t="s">
        <v>16</v>
      </c>
      <c r="G59">
        <v>3613</v>
      </c>
      <c r="H59">
        <v>3539</v>
      </c>
      <c r="I59">
        <v>134</v>
      </c>
      <c r="J59">
        <v>180</v>
      </c>
      <c r="K59">
        <v>1</v>
      </c>
      <c r="L59" t="s">
        <v>26</v>
      </c>
      <c r="M59" t="str">
        <f t="shared" si="0"/>
        <v>Approved</v>
      </c>
      <c r="N59">
        <f t="shared" si="1"/>
        <v>7152</v>
      </c>
      <c r="O59">
        <f t="shared" si="2"/>
        <v>1</v>
      </c>
    </row>
    <row r="60" spans="1:15" x14ac:dyDescent="0.25">
      <c r="A60" t="s">
        <v>80</v>
      </c>
      <c r="B60" t="s">
        <v>25</v>
      </c>
      <c r="C60" t="s">
        <v>14</v>
      </c>
      <c r="D60" t="s">
        <v>389</v>
      </c>
      <c r="E60" t="s">
        <v>15</v>
      </c>
      <c r="F60" t="s">
        <v>16</v>
      </c>
      <c r="G60">
        <v>2779</v>
      </c>
      <c r="H60">
        <v>3664</v>
      </c>
      <c r="I60">
        <v>176</v>
      </c>
      <c r="J60">
        <v>360</v>
      </c>
      <c r="K60">
        <v>0</v>
      </c>
      <c r="L60" t="s">
        <v>26</v>
      </c>
      <c r="M60" t="str">
        <f t="shared" si="0"/>
        <v>Rejected</v>
      </c>
      <c r="N60">
        <f t="shared" si="1"/>
        <v>6443</v>
      </c>
      <c r="O60">
        <f t="shared" si="2"/>
        <v>0</v>
      </c>
    </row>
    <row r="61" spans="1:15" x14ac:dyDescent="0.25">
      <c r="A61" t="s">
        <v>81</v>
      </c>
      <c r="B61" t="s">
        <v>13</v>
      </c>
      <c r="C61" t="s">
        <v>14</v>
      </c>
      <c r="D61" t="s">
        <v>389</v>
      </c>
      <c r="E61" t="s">
        <v>15</v>
      </c>
      <c r="F61" t="s">
        <v>16</v>
      </c>
      <c r="G61">
        <v>4720</v>
      </c>
      <c r="H61">
        <v>0</v>
      </c>
      <c r="I61">
        <v>90</v>
      </c>
      <c r="J61">
        <v>180</v>
      </c>
      <c r="K61">
        <v>1</v>
      </c>
      <c r="L61" t="s">
        <v>26</v>
      </c>
      <c r="M61" t="str">
        <f t="shared" si="0"/>
        <v>Approved</v>
      </c>
      <c r="N61">
        <f t="shared" si="1"/>
        <v>4720</v>
      </c>
      <c r="O61">
        <f t="shared" si="2"/>
        <v>1</v>
      </c>
    </row>
    <row r="62" spans="1:15" x14ac:dyDescent="0.25">
      <c r="A62" t="s">
        <v>82</v>
      </c>
      <c r="B62" t="s">
        <v>13</v>
      </c>
      <c r="C62" t="s">
        <v>14</v>
      </c>
      <c r="D62" t="s">
        <v>390</v>
      </c>
      <c r="E62" t="s">
        <v>22</v>
      </c>
      <c r="F62" t="s">
        <v>16</v>
      </c>
      <c r="G62">
        <v>2415</v>
      </c>
      <c r="H62">
        <v>1721</v>
      </c>
      <c r="I62">
        <v>110</v>
      </c>
      <c r="J62">
        <v>360</v>
      </c>
      <c r="K62">
        <v>1</v>
      </c>
      <c r="L62" t="s">
        <v>26</v>
      </c>
      <c r="M62" t="str">
        <f t="shared" si="0"/>
        <v>Rejected</v>
      </c>
      <c r="N62">
        <f t="shared" si="1"/>
        <v>4136</v>
      </c>
      <c r="O62">
        <f t="shared" si="2"/>
        <v>0</v>
      </c>
    </row>
    <row r="63" spans="1:15" x14ac:dyDescent="0.25">
      <c r="A63" t="s">
        <v>83</v>
      </c>
      <c r="B63" t="s">
        <v>13</v>
      </c>
      <c r="C63" t="s">
        <v>14</v>
      </c>
      <c r="D63" t="s">
        <v>389</v>
      </c>
      <c r="E63" t="s">
        <v>15</v>
      </c>
      <c r="F63" t="s">
        <v>14</v>
      </c>
      <c r="G63">
        <v>7016</v>
      </c>
      <c r="H63">
        <v>292</v>
      </c>
      <c r="I63">
        <v>125</v>
      </c>
      <c r="J63">
        <v>360</v>
      </c>
      <c r="K63">
        <v>1</v>
      </c>
      <c r="L63" t="s">
        <v>17</v>
      </c>
      <c r="M63" t="str">
        <f t="shared" si="0"/>
        <v>Approved</v>
      </c>
      <c r="N63">
        <f t="shared" si="1"/>
        <v>7308</v>
      </c>
      <c r="O63">
        <f t="shared" si="2"/>
        <v>1</v>
      </c>
    </row>
    <row r="64" spans="1:15" x14ac:dyDescent="0.25">
      <c r="A64" t="s">
        <v>84</v>
      </c>
      <c r="B64" t="s">
        <v>25</v>
      </c>
      <c r="C64" t="s">
        <v>16</v>
      </c>
      <c r="D64" t="s">
        <v>34</v>
      </c>
      <c r="E64" t="s">
        <v>15</v>
      </c>
      <c r="F64" t="s">
        <v>16</v>
      </c>
      <c r="G64">
        <v>4968</v>
      </c>
      <c r="H64">
        <v>0</v>
      </c>
      <c r="I64">
        <v>189</v>
      </c>
      <c r="J64">
        <v>360</v>
      </c>
      <c r="K64">
        <v>1</v>
      </c>
      <c r="L64" t="s">
        <v>26</v>
      </c>
      <c r="M64" t="str">
        <f t="shared" si="0"/>
        <v>Approved</v>
      </c>
      <c r="N64">
        <f t="shared" si="1"/>
        <v>4968</v>
      </c>
      <c r="O64">
        <f t="shared" si="2"/>
        <v>1</v>
      </c>
    </row>
    <row r="65" spans="1:15" x14ac:dyDescent="0.25">
      <c r="A65" t="s">
        <v>85</v>
      </c>
      <c r="B65" t="s">
        <v>25</v>
      </c>
      <c r="C65" t="s">
        <v>16</v>
      </c>
      <c r="D65" t="s">
        <v>34</v>
      </c>
      <c r="E65" t="s">
        <v>15</v>
      </c>
      <c r="F65" t="s">
        <v>16</v>
      </c>
      <c r="G65">
        <v>2101</v>
      </c>
      <c r="H65">
        <v>1500</v>
      </c>
      <c r="I65">
        <v>108</v>
      </c>
      <c r="J65">
        <v>360</v>
      </c>
      <c r="K65">
        <v>0</v>
      </c>
      <c r="L65" t="s">
        <v>28</v>
      </c>
      <c r="M65" t="str">
        <f t="shared" si="0"/>
        <v>Rejected</v>
      </c>
      <c r="N65">
        <f t="shared" si="1"/>
        <v>3601</v>
      </c>
      <c r="O65">
        <f t="shared" si="2"/>
        <v>0</v>
      </c>
    </row>
    <row r="66" spans="1:15" x14ac:dyDescent="0.25">
      <c r="A66" t="s">
        <v>86</v>
      </c>
      <c r="B66" t="s">
        <v>13</v>
      </c>
      <c r="C66" t="s">
        <v>14</v>
      </c>
      <c r="D66" t="s">
        <v>391</v>
      </c>
      <c r="E66" t="s">
        <v>22</v>
      </c>
      <c r="F66" t="s">
        <v>16</v>
      </c>
      <c r="G66">
        <v>4490</v>
      </c>
      <c r="H66">
        <v>0</v>
      </c>
      <c r="I66">
        <v>125</v>
      </c>
      <c r="J66">
        <v>360</v>
      </c>
      <c r="K66">
        <v>1</v>
      </c>
      <c r="L66" t="s">
        <v>17</v>
      </c>
      <c r="M66" t="str">
        <f t="shared" si="0"/>
        <v>Approved</v>
      </c>
      <c r="N66">
        <f t="shared" si="1"/>
        <v>4490</v>
      </c>
      <c r="O66">
        <f t="shared" si="2"/>
        <v>1</v>
      </c>
    </row>
    <row r="67" spans="1:15" x14ac:dyDescent="0.25">
      <c r="A67" t="s">
        <v>87</v>
      </c>
      <c r="B67" t="s">
        <v>13</v>
      </c>
      <c r="C67" t="s">
        <v>14</v>
      </c>
      <c r="D67" t="s">
        <v>389</v>
      </c>
      <c r="E67" t="s">
        <v>15</v>
      </c>
      <c r="F67" t="s">
        <v>16</v>
      </c>
      <c r="G67">
        <v>2917</v>
      </c>
      <c r="H67">
        <v>3583</v>
      </c>
      <c r="I67">
        <v>138</v>
      </c>
      <c r="J67">
        <v>360</v>
      </c>
      <c r="K67">
        <v>1</v>
      </c>
      <c r="L67" t="s">
        <v>26</v>
      </c>
      <c r="M67" t="str">
        <f t="shared" ref="M67:M130" si="3">IF(AND(K67=1,G67&gt;3000,I67&lt;200),"Approved","Rejected")</f>
        <v>Rejected</v>
      </c>
      <c r="N67">
        <f t="shared" ref="N67:N130" si="4">G67+H67</f>
        <v>6500</v>
      </c>
      <c r="O67">
        <f t="shared" ref="O67:O130" si="5">IF(M67="Approved",1,0)</f>
        <v>0</v>
      </c>
    </row>
    <row r="68" spans="1:15" x14ac:dyDescent="0.25">
      <c r="A68" t="s">
        <v>88</v>
      </c>
      <c r="B68" t="s">
        <v>13</v>
      </c>
      <c r="C68" t="s">
        <v>14</v>
      </c>
      <c r="D68" t="s">
        <v>389</v>
      </c>
      <c r="E68" t="s">
        <v>22</v>
      </c>
      <c r="F68" t="s">
        <v>16</v>
      </c>
      <c r="G68">
        <v>4700</v>
      </c>
      <c r="H68">
        <v>0</v>
      </c>
      <c r="I68">
        <v>135</v>
      </c>
      <c r="J68">
        <v>360</v>
      </c>
      <c r="K68">
        <v>0</v>
      </c>
      <c r="L68" t="s">
        <v>26</v>
      </c>
      <c r="M68" t="str">
        <f t="shared" si="3"/>
        <v>Rejected</v>
      </c>
      <c r="N68">
        <f t="shared" si="4"/>
        <v>4700</v>
      </c>
      <c r="O68">
        <f t="shared" si="5"/>
        <v>0</v>
      </c>
    </row>
    <row r="69" spans="1:15" x14ac:dyDescent="0.25">
      <c r="A69" t="s">
        <v>89</v>
      </c>
      <c r="B69" t="s">
        <v>13</v>
      </c>
      <c r="C69" t="s">
        <v>14</v>
      </c>
      <c r="D69" t="s">
        <v>391</v>
      </c>
      <c r="E69" t="s">
        <v>15</v>
      </c>
      <c r="F69" t="s">
        <v>16</v>
      </c>
      <c r="G69">
        <v>3445</v>
      </c>
      <c r="H69">
        <v>0</v>
      </c>
      <c r="I69">
        <v>130</v>
      </c>
      <c r="J69">
        <v>360</v>
      </c>
      <c r="K69">
        <v>0</v>
      </c>
      <c r="L69" t="s">
        <v>26</v>
      </c>
      <c r="M69" t="str">
        <f t="shared" si="3"/>
        <v>Rejected</v>
      </c>
      <c r="N69">
        <f t="shared" si="4"/>
        <v>3445</v>
      </c>
      <c r="O69">
        <f t="shared" si="5"/>
        <v>0</v>
      </c>
    </row>
    <row r="70" spans="1:15" x14ac:dyDescent="0.25">
      <c r="A70" t="s">
        <v>90</v>
      </c>
      <c r="B70" t="s">
        <v>13</v>
      </c>
      <c r="C70" t="s">
        <v>14</v>
      </c>
      <c r="D70" t="s">
        <v>389</v>
      </c>
      <c r="E70" t="s">
        <v>15</v>
      </c>
      <c r="F70" t="s">
        <v>16</v>
      </c>
      <c r="G70">
        <v>7666</v>
      </c>
      <c r="H70">
        <v>0</v>
      </c>
      <c r="I70">
        <v>187</v>
      </c>
      <c r="J70">
        <v>360</v>
      </c>
      <c r="K70">
        <v>1</v>
      </c>
      <c r="L70" t="s">
        <v>26</v>
      </c>
      <c r="M70" t="str">
        <f t="shared" si="3"/>
        <v>Approved</v>
      </c>
      <c r="N70">
        <f t="shared" si="4"/>
        <v>7666</v>
      </c>
      <c r="O70">
        <f t="shared" si="5"/>
        <v>1</v>
      </c>
    </row>
    <row r="71" spans="1:15" x14ac:dyDescent="0.25">
      <c r="A71" t="s">
        <v>91</v>
      </c>
      <c r="B71" t="s">
        <v>13</v>
      </c>
      <c r="C71" t="s">
        <v>14</v>
      </c>
      <c r="D71" t="s">
        <v>389</v>
      </c>
      <c r="E71" t="s">
        <v>15</v>
      </c>
      <c r="F71" t="s">
        <v>16</v>
      </c>
      <c r="G71">
        <v>2458</v>
      </c>
      <c r="H71">
        <v>5105</v>
      </c>
      <c r="I71">
        <v>188</v>
      </c>
      <c r="J71">
        <v>360</v>
      </c>
      <c r="K71">
        <v>0</v>
      </c>
      <c r="L71" t="s">
        <v>28</v>
      </c>
      <c r="M71" t="str">
        <f t="shared" si="3"/>
        <v>Rejected</v>
      </c>
      <c r="N71">
        <f t="shared" si="4"/>
        <v>7563</v>
      </c>
      <c r="O71">
        <f t="shared" si="5"/>
        <v>0</v>
      </c>
    </row>
    <row r="72" spans="1:15" x14ac:dyDescent="0.25">
      <c r="A72" t="s">
        <v>92</v>
      </c>
      <c r="B72" t="s">
        <v>25</v>
      </c>
      <c r="C72" t="s">
        <v>16</v>
      </c>
      <c r="D72" t="s">
        <v>391</v>
      </c>
      <c r="E72" t="s">
        <v>15</v>
      </c>
      <c r="F72" t="s">
        <v>16</v>
      </c>
      <c r="G72">
        <v>3250</v>
      </c>
      <c r="H72">
        <v>0</v>
      </c>
      <c r="I72">
        <v>95</v>
      </c>
      <c r="J72">
        <v>360</v>
      </c>
      <c r="K72">
        <v>1</v>
      </c>
      <c r="L72" t="s">
        <v>26</v>
      </c>
      <c r="M72" t="str">
        <f t="shared" si="3"/>
        <v>Approved</v>
      </c>
      <c r="N72">
        <f t="shared" si="4"/>
        <v>3250</v>
      </c>
      <c r="O72">
        <f t="shared" si="5"/>
        <v>1</v>
      </c>
    </row>
    <row r="73" spans="1:15" x14ac:dyDescent="0.25">
      <c r="A73" t="s">
        <v>93</v>
      </c>
      <c r="B73" t="s">
        <v>13</v>
      </c>
      <c r="C73" t="s">
        <v>16</v>
      </c>
      <c r="D73" t="s">
        <v>389</v>
      </c>
      <c r="E73" t="s">
        <v>15</v>
      </c>
      <c r="F73" t="s">
        <v>16</v>
      </c>
      <c r="G73">
        <v>4463</v>
      </c>
      <c r="H73">
        <v>0</v>
      </c>
      <c r="I73">
        <v>65</v>
      </c>
      <c r="J73">
        <v>360</v>
      </c>
      <c r="K73">
        <v>1</v>
      </c>
      <c r="L73" t="s">
        <v>26</v>
      </c>
      <c r="M73" t="str">
        <f t="shared" si="3"/>
        <v>Approved</v>
      </c>
      <c r="N73">
        <f t="shared" si="4"/>
        <v>4463</v>
      </c>
      <c r="O73">
        <f t="shared" si="5"/>
        <v>1</v>
      </c>
    </row>
    <row r="74" spans="1:15" x14ac:dyDescent="0.25">
      <c r="A74" t="s">
        <v>94</v>
      </c>
      <c r="B74" t="s">
        <v>13</v>
      </c>
      <c r="C74" t="s">
        <v>14</v>
      </c>
      <c r="D74" t="s">
        <v>389</v>
      </c>
      <c r="E74" t="s">
        <v>15</v>
      </c>
      <c r="G74">
        <v>4083</v>
      </c>
      <c r="H74">
        <v>1775</v>
      </c>
      <c r="I74">
        <v>139</v>
      </c>
      <c r="J74">
        <v>60</v>
      </c>
      <c r="K74">
        <v>1</v>
      </c>
      <c r="L74" t="s">
        <v>17</v>
      </c>
      <c r="M74" t="str">
        <f t="shared" si="3"/>
        <v>Approved</v>
      </c>
      <c r="N74">
        <f t="shared" si="4"/>
        <v>5858</v>
      </c>
      <c r="O74">
        <f t="shared" si="5"/>
        <v>1</v>
      </c>
    </row>
    <row r="75" spans="1:15" x14ac:dyDescent="0.25">
      <c r="A75" t="s">
        <v>95</v>
      </c>
      <c r="B75" t="s">
        <v>13</v>
      </c>
      <c r="C75" t="s">
        <v>14</v>
      </c>
      <c r="D75" t="s">
        <v>34</v>
      </c>
      <c r="E75" t="s">
        <v>15</v>
      </c>
      <c r="F75" t="s">
        <v>14</v>
      </c>
      <c r="G75">
        <v>3900</v>
      </c>
      <c r="H75">
        <v>2094</v>
      </c>
      <c r="I75">
        <v>232</v>
      </c>
      <c r="J75">
        <v>360</v>
      </c>
      <c r="K75">
        <v>1</v>
      </c>
      <c r="L75" t="s">
        <v>28</v>
      </c>
      <c r="M75" t="str">
        <f t="shared" si="3"/>
        <v>Rejected</v>
      </c>
      <c r="N75">
        <f t="shared" si="4"/>
        <v>5994</v>
      </c>
      <c r="O75">
        <f t="shared" si="5"/>
        <v>0</v>
      </c>
    </row>
    <row r="76" spans="1:15" x14ac:dyDescent="0.25">
      <c r="A76" t="s">
        <v>96</v>
      </c>
      <c r="B76" t="s">
        <v>13</v>
      </c>
      <c r="C76" t="s">
        <v>14</v>
      </c>
      <c r="D76" t="s">
        <v>390</v>
      </c>
      <c r="E76" t="s">
        <v>22</v>
      </c>
      <c r="F76" t="s">
        <v>16</v>
      </c>
      <c r="G76">
        <v>4750</v>
      </c>
      <c r="H76">
        <v>3583</v>
      </c>
      <c r="I76">
        <v>144</v>
      </c>
      <c r="J76">
        <v>360</v>
      </c>
      <c r="K76">
        <v>1</v>
      </c>
      <c r="L76" t="s">
        <v>26</v>
      </c>
      <c r="M76" t="str">
        <f t="shared" si="3"/>
        <v>Approved</v>
      </c>
      <c r="N76">
        <f t="shared" si="4"/>
        <v>8333</v>
      </c>
      <c r="O76">
        <f t="shared" si="5"/>
        <v>1</v>
      </c>
    </row>
    <row r="77" spans="1:15" x14ac:dyDescent="0.25">
      <c r="A77" t="s">
        <v>97</v>
      </c>
      <c r="B77" t="s">
        <v>13</v>
      </c>
      <c r="C77" t="s">
        <v>16</v>
      </c>
      <c r="D77" t="s">
        <v>391</v>
      </c>
      <c r="E77" t="s">
        <v>15</v>
      </c>
      <c r="F77" t="s">
        <v>16</v>
      </c>
      <c r="G77">
        <v>3583</v>
      </c>
      <c r="H77">
        <v>3435</v>
      </c>
      <c r="I77">
        <v>155</v>
      </c>
      <c r="J77">
        <v>360</v>
      </c>
      <c r="K77">
        <v>1</v>
      </c>
      <c r="L77" t="s">
        <v>17</v>
      </c>
      <c r="M77" t="str">
        <f t="shared" si="3"/>
        <v>Approved</v>
      </c>
      <c r="N77">
        <f t="shared" si="4"/>
        <v>7018</v>
      </c>
      <c r="O77">
        <f t="shared" si="5"/>
        <v>1</v>
      </c>
    </row>
    <row r="78" spans="1:15" x14ac:dyDescent="0.25">
      <c r="A78" t="s">
        <v>98</v>
      </c>
      <c r="B78" t="s">
        <v>13</v>
      </c>
      <c r="C78" t="s">
        <v>14</v>
      </c>
      <c r="D78" t="s">
        <v>390</v>
      </c>
      <c r="E78" t="s">
        <v>15</v>
      </c>
      <c r="F78" t="s">
        <v>16</v>
      </c>
      <c r="G78">
        <v>3189</v>
      </c>
      <c r="H78">
        <v>2367</v>
      </c>
      <c r="I78">
        <v>186</v>
      </c>
      <c r="J78">
        <v>360</v>
      </c>
      <c r="K78">
        <v>1</v>
      </c>
      <c r="L78" t="s">
        <v>17</v>
      </c>
      <c r="M78" t="str">
        <f t="shared" si="3"/>
        <v>Approved</v>
      </c>
      <c r="N78">
        <f t="shared" si="4"/>
        <v>5556</v>
      </c>
      <c r="O78">
        <f t="shared" si="5"/>
        <v>1</v>
      </c>
    </row>
    <row r="79" spans="1:15" x14ac:dyDescent="0.25">
      <c r="A79" t="s">
        <v>99</v>
      </c>
      <c r="B79" t="s">
        <v>13</v>
      </c>
      <c r="C79" t="s">
        <v>16</v>
      </c>
      <c r="D79" t="s">
        <v>34</v>
      </c>
      <c r="E79" t="s">
        <v>15</v>
      </c>
      <c r="F79" t="s">
        <v>14</v>
      </c>
      <c r="G79">
        <v>6356</v>
      </c>
      <c r="H79">
        <v>0</v>
      </c>
      <c r="I79">
        <v>50</v>
      </c>
      <c r="J79">
        <v>360</v>
      </c>
      <c r="K79">
        <v>1</v>
      </c>
      <c r="L79" t="s">
        <v>28</v>
      </c>
      <c r="M79" t="str">
        <f t="shared" si="3"/>
        <v>Approved</v>
      </c>
      <c r="N79">
        <f t="shared" si="4"/>
        <v>6356</v>
      </c>
      <c r="O79">
        <f t="shared" si="5"/>
        <v>1</v>
      </c>
    </row>
    <row r="80" spans="1:15" x14ac:dyDescent="0.25">
      <c r="A80" t="s">
        <v>100</v>
      </c>
      <c r="B80" t="s">
        <v>13</v>
      </c>
      <c r="C80" t="s">
        <v>14</v>
      </c>
      <c r="D80" t="s">
        <v>390</v>
      </c>
      <c r="E80" t="s">
        <v>15</v>
      </c>
      <c r="F80" t="s">
        <v>16</v>
      </c>
      <c r="G80">
        <v>3413</v>
      </c>
      <c r="H80">
        <v>4053</v>
      </c>
      <c r="J80">
        <v>360</v>
      </c>
      <c r="K80">
        <v>1</v>
      </c>
      <c r="L80" t="s">
        <v>26</v>
      </c>
      <c r="M80" t="str">
        <f t="shared" si="3"/>
        <v>Approved</v>
      </c>
      <c r="N80">
        <f t="shared" si="4"/>
        <v>7466</v>
      </c>
      <c r="O80">
        <f t="shared" si="5"/>
        <v>1</v>
      </c>
    </row>
    <row r="81" spans="1:15" x14ac:dyDescent="0.25">
      <c r="A81" t="s">
        <v>101</v>
      </c>
      <c r="B81" t="s">
        <v>25</v>
      </c>
      <c r="C81" t="s">
        <v>14</v>
      </c>
      <c r="D81" t="s">
        <v>389</v>
      </c>
      <c r="E81" t="s">
        <v>15</v>
      </c>
      <c r="F81" t="s">
        <v>16</v>
      </c>
      <c r="G81">
        <v>7950</v>
      </c>
      <c r="H81">
        <v>0</v>
      </c>
      <c r="I81">
        <v>185</v>
      </c>
      <c r="J81">
        <v>360</v>
      </c>
      <c r="K81">
        <v>1</v>
      </c>
      <c r="L81" t="s">
        <v>17</v>
      </c>
      <c r="M81" t="str">
        <f t="shared" si="3"/>
        <v>Approved</v>
      </c>
      <c r="N81">
        <f t="shared" si="4"/>
        <v>7950</v>
      </c>
      <c r="O81">
        <f t="shared" si="5"/>
        <v>1</v>
      </c>
    </row>
    <row r="82" spans="1:15" x14ac:dyDescent="0.25">
      <c r="A82" t="s">
        <v>102</v>
      </c>
      <c r="B82" t="s">
        <v>13</v>
      </c>
      <c r="C82" t="s">
        <v>14</v>
      </c>
      <c r="D82" t="s">
        <v>34</v>
      </c>
      <c r="E82" t="s">
        <v>15</v>
      </c>
      <c r="F82" t="s">
        <v>16</v>
      </c>
      <c r="G82">
        <v>3829</v>
      </c>
      <c r="H82">
        <v>1103</v>
      </c>
      <c r="I82">
        <v>163</v>
      </c>
      <c r="J82">
        <v>360</v>
      </c>
      <c r="K82">
        <v>0</v>
      </c>
      <c r="L82" t="s">
        <v>17</v>
      </c>
      <c r="M82" t="str">
        <f t="shared" si="3"/>
        <v>Rejected</v>
      </c>
      <c r="N82">
        <f t="shared" si="4"/>
        <v>4932</v>
      </c>
      <c r="O82">
        <f t="shared" si="5"/>
        <v>0</v>
      </c>
    </row>
    <row r="83" spans="1:15" x14ac:dyDescent="0.25">
      <c r="A83" t="s">
        <v>103</v>
      </c>
      <c r="B83" t="s">
        <v>13</v>
      </c>
      <c r="C83" t="s">
        <v>14</v>
      </c>
      <c r="D83" t="s">
        <v>34</v>
      </c>
      <c r="E83" t="s">
        <v>15</v>
      </c>
      <c r="F83" t="s">
        <v>16</v>
      </c>
      <c r="G83">
        <v>72529</v>
      </c>
      <c r="H83">
        <v>0</v>
      </c>
      <c r="I83">
        <v>360</v>
      </c>
      <c r="J83">
        <v>360</v>
      </c>
      <c r="K83">
        <v>1</v>
      </c>
      <c r="L83" t="s">
        <v>17</v>
      </c>
      <c r="M83" t="str">
        <f t="shared" si="3"/>
        <v>Rejected</v>
      </c>
      <c r="N83">
        <f t="shared" si="4"/>
        <v>72529</v>
      </c>
      <c r="O83">
        <f t="shared" si="5"/>
        <v>0</v>
      </c>
    </row>
    <row r="84" spans="1:15" x14ac:dyDescent="0.25">
      <c r="A84" t="s">
        <v>104</v>
      </c>
      <c r="B84" t="s">
        <v>13</v>
      </c>
      <c r="C84" t="s">
        <v>14</v>
      </c>
      <c r="D84" t="s">
        <v>389</v>
      </c>
      <c r="E84" t="s">
        <v>22</v>
      </c>
      <c r="F84" t="s">
        <v>16</v>
      </c>
      <c r="G84">
        <v>4136</v>
      </c>
      <c r="H84">
        <v>0</v>
      </c>
      <c r="I84">
        <v>149</v>
      </c>
      <c r="J84">
        <v>480</v>
      </c>
      <c r="K84">
        <v>0</v>
      </c>
      <c r="L84" t="s">
        <v>28</v>
      </c>
      <c r="M84" t="str">
        <f t="shared" si="3"/>
        <v>Rejected</v>
      </c>
      <c r="N84">
        <f t="shared" si="4"/>
        <v>4136</v>
      </c>
      <c r="O84">
        <f t="shared" si="5"/>
        <v>0</v>
      </c>
    </row>
    <row r="85" spans="1:15" x14ac:dyDescent="0.25">
      <c r="A85" t="s">
        <v>105</v>
      </c>
      <c r="B85" t="s">
        <v>13</v>
      </c>
      <c r="C85" t="s">
        <v>14</v>
      </c>
      <c r="D85" t="s">
        <v>389</v>
      </c>
      <c r="E85" t="s">
        <v>15</v>
      </c>
      <c r="F85" t="s">
        <v>16</v>
      </c>
      <c r="G85">
        <v>8449</v>
      </c>
      <c r="H85">
        <v>0</v>
      </c>
      <c r="I85">
        <v>257</v>
      </c>
      <c r="J85">
        <v>360</v>
      </c>
      <c r="K85">
        <v>1</v>
      </c>
      <c r="L85" t="s">
        <v>28</v>
      </c>
      <c r="M85" t="str">
        <f t="shared" si="3"/>
        <v>Rejected</v>
      </c>
      <c r="N85">
        <f t="shared" si="4"/>
        <v>8449</v>
      </c>
      <c r="O85">
        <f t="shared" si="5"/>
        <v>0</v>
      </c>
    </row>
    <row r="86" spans="1:15" x14ac:dyDescent="0.25">
      <c r="A86" t="s">
        <v>106</v>
      </c>
      <c r="B86" t="s">
        <v>13</v>
      </c>
      <c r="C86" t="s">
        <v>14</v>
      </c>
      <c r="D86" t="s">
        <v>390</v>
      </c>
      <c r="E86" t="s">
        <v>15</v>
      </c>
      <c r="F86" t="s">
        <v>16</v>
      </c>
      <c r="G86">
        <v>4456</v>
      </c>
      <c r="H86">
        <v>0</v>
      </c>
      <c r="I86">
        <v>131</v>
      </c>
      <c r="J86">
        <v>180</v>
      </c>
      <c r="K86">
        <v>0</v>
      </c>
      <c r="L86" t="s">
        <v>26</v>
      </c>
      <c r="M86" t="str">
        <f t="shared" si="3"/>
        <v>Rejected</v>
      </c>
      <c r="N86">
        <f t="shared" si="4"/>
        <v>4456</v>
      </c>
      <c r="O86">
        <f t="shared" si="5"/>
        <v>0</v>
      </c>
    </row>
    <row r="87" spans="1:15" x14ac:dyDescent="0.25">
      <c r="A87" t="s">
        <v>107</v>
      </c>
      <c r="B87" t="s">
        <v>13</v>
      </c>
      <c r="C87" t="s">
        <v>14</v>
      </c>
      <c r="D87" t="s">
        <v>391</v>
      </c>
      <c r="E87" t="s">
        <v>15</v>
      </c>
      <c r="F87" t="s">
        <v>16</v>
      </c>
      <c r="G87">
        <v>4635</v>
      </c>
      <c r="H87">
        <v>8000</v>
      </c>
      <c r="I87">
        <v>102</v>
      </c>
      <c r="J87">
        <v>180</v>
      </c>
      <c r="K87">
        <v>1</v>
      </c>
      <c r="L87" t="s">
        <v>28</v>
      </c>
      <c r="M87" t="str">
        <f t="shared" si="3"/>
        <v>Approved</v>
      </c>
      <c r="N87">
        <f t="shared" si="4"/>
        <v>12635</v>
      </c>
      <c r="O87">
        <f t="shared" si="5"/>
        <v>1</v>
      </c>
    </row>
    <row r="88" spans="1:15" x14ac:dyDescent="0.25">
      <c r="A88" t="s">
        <v>108</v>
      </c>
      <c r="B88" t="s">
        <v>13</v>
      </c>
      <c r="C88" t="s">
        <v>14</v>
      </c>
      <c r="D88" t="s">
        <v>389</v>
      </c>
      <c r="E88" t="s">
        <v>15</v>
      </c>
      <c r="F88" t="s">
        <v>16</v>
      </c>
      <c r="G88">
        <v>3571</v>
      </c>
      <c r="H88">
        <v>1917</v>
      </c>
      <c r="I88">
        <v>135</v>
      </c>
      <c r="J88">
        <v>360</v>
      </c>
      <c r="K88">
        <v>1</v>
      </c>
      <c r="L88" t="s">
        <v>17</v>
      </c>
      <c r="M88" t="str">
        <f t="shared" si="3"/>
        <v>Approved</v>
      </c>
      <c r="N88">
        <f t="shared" si="4"/>
        <v>5488</v>
      </c>
      <c r="O88">
        <f t="shared" si="5"/>
        <v>1</v>
      </c>
    </row>
    <row r="89" spans="1:15" x14ac:dyDescent="0.25">
      <c r="A89" t="s">
        <v>109</v>
      </c>
      <c r="B89" t="s">
        <v>13</v>
      </c>
      <c r="C89" t="s">
        <v>16</v>
      </c>
      <c r="D89" t="s">
        <v>389</v>
      </c>
      <c r="E89" t="s">
        <v>15</v>
      </c>
      <c r="F89" t="s">
        <v>16</v>
      </c>
      <c r="G89">
        <v>3066</v>
      </c>
      <c r="H89">
        <v>0</v>
      </c>
      <c r="I89">
        <v>95</v>
      </c>
      <c r="J89">
        <v>360</v>
      </c>
      <c r="K89">
        <v>1</v>
      </c>
      <c r="L89" t="s">
        <v>26</v>
      </c>
      <c r="M89" t="str">
        <f t="shared" si="3"/>
        <v>Approved</v>
      </c>
      <c r="N89">
        <f t="shared" si="4"/>
        <v>3066</v>
      </c>
      <c r="O89">
        <f t="shared" si="5"/>
        <v>1</v>
      </c>
    </row>
    <row r="90" spans="1:15" x14ac:dyDescent="0.25">
      <c r="A90" t="s">
        <v>110</v>
      </c>
      <c r="B90" t="s">
        <v>13</v>
      </c>
      <c r="C90" t="s">
        <v>16</v>
      </c>
      <c r="D90" t="s">
        <v>389</v>
      </c>
      <c r="E90" t="s">
        <v>22</v>
      </c>
      <c r="F90" t="s">
        <v>16</v>
      </c>
      <c r="G90">
        <v>3235</v>
      </c>
      <c r="H90">
        <v>2015</v>
      </c>
      <c r="I90">
        <v>77</v>
      </c>
      <c r="J90">
        <v>360</v>
      </c>
      <c r="K90">
        <v>1</v>
      </c>
      <c r="L90" t="s">
        <v>26</v>
      </c>
      <c r="M90" t="str">
        <f t="shared" si="3"/>
        <v>Approved</v>
      </c>
      <c r="N90">
        <f t="shared" si="4"/>
        <v>5250</v>
      </c>
      <c r="O90">
        <f t="shared" si="5"/>
        <v>1</v>
      </c>
    </row>
    <row r="91" spans="1:15" x14ac:dyDescent="0.25">
      <c r="A91" t="s">
        <v>111</v>
      </c>
      <c r="B91" t="s">
        <v>25</v>
      </c>
      <c r="C91" t="s">
        <v>16</v>
      </c>
      <c r="D91" t="s">
        <v>34</v>
      </c>
      <c r="E91" t="s">
        <v>15</v>
      </c>
      <c r="G91">
        <v>5058</v>
      </c>
      <c r="H91">
        <v>0</v>
      </c>
      <c r="I91">
        <v>200</v>
      </c>
      <c r="J91">
        <v>360</v>
      </c>
      <c r="K91">
        <v>1</v>
      </c>
      <c r="L91" t="s">
        <v>28</v>
      </c>
      <c r="M91" t="str">
        <f t="shared" si="3"/>
        <v>Rejected</v>
      </c>
      <c r="N91">
        <f t="shared" si="4"/>
        <v>5058</v>
      </c>
      <c r="O91">
        <f t="shared" si="5"/>
        <v>0</v>
      </c>
    </row>
    <row r="92" spans="1:15" x14ac:dyDescent="0.25">
      <c r="A92" t="s">
        <v>112</v>
      </c>
      <c r="B92" t="s">
        <v>13</v>
      </c>
      <c r="C92" t="s">
        <v>14</v>
      </c>
      <c r="D92" t="s">
        <v>389</v>
      </c>
      <c r="E92" t="s">
        <v>15</v>
      </c>
      <c r="F92" t="s">
        <v>14</v>
      </c>
      <c r="G92">
        <v>3188</v>
      </c>
      <c r="H92">
        <v>2286</v>
      </c>
      <c r="I92">
        <v>130</v>
      </c>
      <c r="J92">
        <v>360</v>
      </c>
      <c r="L92" t="s">
        <v>28</v>
      </c>
      <c r="M92" t="str">
        <f t="shared" si="3"/>
        <v>Rejected</v>
      </c>
      <c r="N92">
        <f t="shared" si="4"/>
        <v>5474</v>
      </c>
      <c r="O92">
        <f t="shared" si="5"/>
        <v>0</v>
      </c>
    </row>
    <row r="93" spans="1:15" x14ac:dyDescent="0.25">
      <c r="A93" t="s">
        <v>113</v>
      </c>
      <c r="B93" t="s">
        <v>13</v>
      </c>
      <c r="C93" t="s">
        <v>14</v>
      </c>
      <c r="D93" t="s">
        <v>389</v>
      </c>
      <c r="E93" t="s">
        <v>15</v>
      </c>
      <c r="F93" t="s">
        <v>16</v>
      </c>
      <c r="G93">
        <v>13518</v>
      </c>
      <c r="H93">
        <v>0</v>
      </c>
      <c r="I93">
        <v>390</v>
      </c>
      <c r="J93">
        <v>360</v>
      </c>
      <c r="K93">
        <v>1</v>
      </c>
      <c r="L93" t="s">
        <v>28</v>
      </c>
      <c r="M93" t="str">
        <f t="shared" si="3"/>
        <v>Rejected</v>
      </c>
      <c r="N93">
        <f t="shared" si="4"/>
        <v>13518</v>
      </c>
      <c r="O93">
        <f t="shared" si="5"/>
        <v>0</v>
      </c>
    </row>
    <row r="94" spans="1:15" x14ac:dyDescent="0.25">
      <c r="A94" t="s">
        <v>114</v>
      </c>
      <c r="B94" t="s">
        <v>13</v>
      </c>
      <c r="C94" t="s">
        <v>14</v>
      </c>
      <c r="D94" t="s">
        <v>389</v>
      </c>
      <c r="E94" t="s">
        <v>15</v>
      </c>
      <c r="F94" t="s">
        <v>16</v>
      </c>
      <c r="G94">
        <v>4364</v>
      </c>
      <c r="H94">
        <v>2500</v>
      </c>
      <c r="I94">
        <v>185</v>
      </c>
      <c r="J94">
        <v>360</v>
      </c>
      <c r="K94">
        <v>1</v>
      </c>
      <c r="L94" t="s">
        <v>26</v>
      </c>
      <c r="M94" t="str">
        <f t="shared" si="3"/>
        <v>Approved</v>
      </c>
      <c r="N94">
        <f t="shared" si="4"/>
        <v>6864</v>
      </c>
      <c r="O94">
        <f t="shared" si="5"/>
        <v>1</v>
      </c>
    </row>
    <row r="95" spans="1:15" x14ac:dyDescent="0.25">
      <c r="A95" t="s">
        <v>115</v>
      </c>
      <c r="B95" t="s">
        <v>13</v>
      </c>
      <c r="C95" t="s">
        <v>14</v>
      </c>
      <c r="D95" t="s">
        <v>392</v>
      </c>
      <c r="E95" t="s">
        <v>22</v>
      </c>
      <c r="F95" t="s">
        <v>16</v>
      </c>
      <c r="G95">
        <v>4766</v>
      </c>
      <c r="H95">
        <v>1646</v>
      </c>
      <c r="I95">
        <v>100</v>
      </c>
      <c r="J95">
        <v>360</v>
      </c>
      <c r="K95">
        <v>1</v>
      </c>
      <c r="L95" t="s">
        <v>26</v>
      </c>
      <c r="M95" t="str">
        <f t="shared" si="3"/>
        <v>Approved</v>
      </c>
      <c r="N95">
        <f t="shared" si="4"/>
        <v>6412</v>
      </c>
      <c r="O95">
        <f t="shared" si="5"/>
        <v>1</v>
      </c>
    </row>
    <row r="96" spans="1:15" x14ac:dyDescent="0.25">
      <c r="A96" t="s">
        <v>116</v>
      </c>
      <c r="B96" t="s">
        <v>13</v>
      </c>
      <c r="C96" t="s">
        <v>14</v>
      </c>
      <c r="D96" t="s">
        <v>389</v>
      </c>
      <c r="E96" t="s">
        <v>15</v>
      </c>
      <c r="F96" t="s">
        <v>16</v>
      </c>
      <c r="G96">
        <v>4609</v>
      </c>
      <c r="H96">
        <v>2333</v>
      </c>
      <c r="I96">
        <v>123</v>
      </c>
      <c r="J96">
        <v>360</v>
      </c>
      <c r="K96">
        <v>0</v>
      </c>
      <c r="L96" t="s">
        <v>26</v>
      </c>
      <c r="M96" t="str">
        <f t="shared" si="3"/>
        <v>Rejected</v>
      </c>
      <c r="N96">
        <f t="shared" si="4"/>
        <v>6942</v>
      </c>
      <c r="O96">
        <f t="shared" si="5"/>
        <v>0</v>
      </c>
    </row>
    <row r="97" spans="1:15" x14ac:dyDescent="0.25">
      <c r="A97" t="s">
        <v>117</v>
      </c>
      <c r="B97" t="s">
        <v>25</v>
      </c>
      <c r="C97" t="s">
        <v>14</v>
      </c>
      <c r="D97" t="s">
        <v>391</v>
      </c>
      <c r="E97" t="s">
        <v>15</v>
      </c>
      <c r="F97" t="s">
        <v>16</v>
      </c>
      <c r="G97">
        <v>6260</v>
      </c>
      <c r="H97">
        <v>0</v>
      </c>
      <c r="I97">
        <v>110</v>
      </c>
      <c r="J97">
        <v>360</v>
      </c>
      <c r="K97">
        <v>1</v>
      </c>
      <c r="L97" t="s">
        <v>26</v>
      </c>
      <c r="M97" t="str">
        <f t="shared" si="3"/>
        <v>Approved</v>
      </c>
      <c r="N97">
        <f t="shared" si="4"/>
        <v>6260</v>
      </c>
      <c r="O97">
        <f t="shared" si="5"/>
        <v>1</v>
      </c>
    </row>
    <row r="98" spans="1:15" x14ac:dyDescent="0.25">
      <c r="A98" t="s">
        <v>118</v>
      </c>
      <c r="B98" t="s">
        <v>13</v>
      </c>
      <c r="C98" t="s">
        <v>14</v>
      </c>
      <c r="D98" t="s">
        <v>389</v>
      </c>
      <c r="E98" t="s">
        <v>15</v>
      </c>
      <c r="F98" t="s">
        <v>16</v>
      </c>
      <c r="G98">
        <v>3333</v>
      </c>
      <c r="H98">
        <v>4200</v>
      </c>
      <c r="I98">
        <v>256</v>
      </c>
      <c r="J98">
        <v>360</v>
      </c>
      <c r="K98">
        <v>1</v>
      </c>
      <c r="L98" t="s">
        <v>17</v>
      </c>
      <c r="M98" t="str">
        <f t="shared" si="3"/>
        <v>Rejected</v>
      </c>
      <c r="N98">
        <f t="shared" si="4"/>
        <v>7533</v>
      </c>
      <c r="O98">
        <f t="shared" si="5"/>
        <v>0</v>
      </c>
    </row>
    <row r="99" spans="1:15" x14ac:dyDescent="0.25">
      <c r="A99" t="s">
        <v>119</v>
      </c>
      <c r="B99" t="s">
        <v>13</v>
      </c>
      <c r="C99" t="s">
        <v>14</v>
      </c>
      <c r="D99" t="s">
        <v>34</v>
      </c>
      <c r="E99" t="s">
        <v>15</v>
      </c>
      <c r="F99" t="s">
        <v>16</v>
      </c>
      <c r="G99">
        <v>3500</v>
      </c>
      <c r="H99">
        <v>3250</v>
      </c>
      <c r="I99">
        <v>140</v>
      </c>
      <c r="J99">
        <v>360</v>
      </c>
      <c r="K99">
        <v>1</v>
      </c>
      <c r="L99" t="s">
        <v>26</v>
      </c>
      <c r="M99" t="str">
        <f t="shared" si="3"/>
        <v>Approved</v>
      </c>
      <c r="N99">
        <f t="shared" si="4"/>
        <v>6750</v>
      </c>
      <c r="O99">
        <f t="shared" si="5"/>
        <v>1</v>
      </c>
    </row>
    <row r="100" spans="1:15" x14ac:dyDescent="0.25">
      <c r="A100" t="s">
        <v>120</v>
      </c>
      <c r="B100" t="s">
        <v>13</v>
      </c>
      <c r="C100" t="s">
        <v>14</v>
      </c>
      <c r="D100" t="s">
        <v>389</v>
      </c>
      <c r="E100" t="s">
        <v>15</v>
      </c>
      <c r="F100" t="s">
        <v>16</v>
      </c>
      <c r="G100">
        <v>9719</v>
      </c>
      <c r="H100">
        <v>0</v>
      </c>
      <c r="I100">
        <v>61</v>
      </c>
      <c r="J100">
        <v>360</v>
      </c>
      <c r="K100">
        <v>1</v>
      </c>
      <c r="L100" t="s">
        <v>17</v>
      </c>
      <c r="M100" t="str">
        <f t="shared" si="3"/>
        <v>Approved</v>
      </c>
      <c r="N100">
        <f t="shared" si="4"/>
        <v>9719</v>
      </c>
      <c r="O100">
        <f t="shared" si="5"/>
        <v>1</v>
      </c>
    </row>
    <row r="101" spans="1:15" x14ac:dyDescent="0.25">
      <c r="A101" t="s">
        <v>121</v>
      </c>
      <c r="B101" t="s">
        <v>13</v>
      </c>
      <c r="C101" t="s">
        <v>14</v>
      </c>
      <c r="D101" t="s">
        <v>390</v>
      </c>
      <c r="E101" t="s">
        <v>15</v>
      </c>
      <c r="F101" t="s">
        <v>16</v>
      </c>
      <c r="G101">
        <v>6835</v>
      </c>
      <c r="H101">
        <v>0</v>
      </c>
      <c r="I101">
        <v>188</v>
      </c>
      <c r="J101">
        <v>360</v>
      </c>
      <c r="L101" t="s">
        <v>26</v>
      </c>
      <c r="M101" t="str">
        <f t="shared" si="3"/>
        <v>Rejected</v>
      </c>
      <c r="N101">
        <f t="shared" si="4"/>
        <v>6835</v>
      </c>
      <c r="O101">
        <f t="shared" si="5"/>
        <v>0</v>
      </c>
    </row>
    <row r="102" spans="1:15" x14ac:dyDescent="0.25">
      <c r="A102" t="s">
        <v>122</v>
      </c>
      <c r="B102" t="s">
        <v>13</v>
      </c>
      <c r="C102" t="s">
        <v>16</v>
      </c>
      <c r="D102" t="s">
        <v>389</v>
      </c>
      <c r="E102" t="s">
        <v>15</v>
      </c>
      <c r="F102" t="s">
        <v>16</v>
      </c>
      <c r="G102">
        <v>4452</v>
      </c>
      <c r="H102">
        <v>0</v>
      </c>
      <c r="I102">
        <v>131</v>
      </c>
      <c r="J102">
        <v>360</v>
      </c>
      <c r="K102">
        <v>1</v>
      </c>
      <c r="L102" t="s">
        <v>28</v>
      </c>
      <c r="M102" t="str">
        <f t="shared" si="3"/>
        <v>Approved</v>
      </c>
      <c r="N102">
        <f t="shared" si="4"/>
        <v>4452</v>
      </c>
      <c r="O102">
        <f t="shared" si="5"/>
        <v>1</v>
      </c>
    </row>
    <row r="103" spans="1:15" x14ac:dyDescent="0.25">
      <c r="A103" t="s">
        <v>123</v>
      </c>
      <c r="B103" t="s">
        <v>25</v>
      </c>
      <c r="C103" t="s">
        <v>14</v>
      </c>
      <c r="D103" t="s">
        <v>391</v>
      </c>
      <c r="E103" t="s">
        <v>15</v>
      </c>
      <c r="F103" t="s">
        <v>16</v>
      </c>
      <c r="G103">
        <v>2262</v>
      </c>
      <c r="H103">
        <v>0</v>
      </c>
      <c r="J103">
        <v>480</v>
      </c>
      <c r="K103">
        <v>0</v>
      </c>
      <c r="L103" t="s">
        <v>26</v>
      </c>
      <c r="M103" t="str">
        <f t="shared" si="3"/>
        <v>Rejected</v>
      </c>
      <c r="N103">
        <f t="shared" si="4"/>
        <v>2262</v>
      </c>
      <c r="O103">
        <f t="shared" si="5"/>
        <v>0</v>
      </c>
    </row>
    <row r="104" spans="1:15" x14ac:dyDescent="0.25">
      <c r="A104" t="s">
        <v>124</v>
      </c>
      <c r="B104" t="s">
        <v>13</v>
      </c>
      <c r="C104" t="s">
        <v>14</v>
      </c>
      <c r="D104" t="s">
        <v>389</v>
      </c>
      <c r="E104" t="s">
        <v>15</v>
      </c>
      <c r="F104" t="s">
        <v>16</v>
      </c>
      <c r="G104">
        <v>3901</v>
      </c>
      <c r="H104">
        <v>0</v>
      </c>
      <c r="I104">
        <v>116</v>
      </c>
      <c r="J104">
        <v>360</v>
      </c>
      <c r="K104">
        <v>1</v>
      </c>
      <c r="L104" t="s">
        <v>17</v>
      </c>
      <c r="M104" t="str">
        <f t="shared" si="3"/>
        <v>Approved</v>
      </c>
      <c r="N104">
        <f t="shared" si="4"/>
        <v>3901</v>
      </c>
      <c r="O104">
        <f t="shared" si="5"/>
        <v>1</v>
      </c>
    </row>
    <row r="105" spans="1:15" x14ac:dyDescent="0.25">
      <c r="A105" t="s">
        <v>125</v>
      </c>
      <c r="B105" t="s">
        <v>13</v>
      </c>
      <c r="C105" t="s">
        <v>14</v>
      </c>
      <c r="D105" t="s">
        <v>389</v>
      </c>
      <c r="E105" t="s">
        <v>22</v>
      </c>
      <c r="F105" t="s">
        <v>16</v>
      </c>
      <c r="G105">
        <v>2687</v>
      </c>
      <c r="H105">
        <v>0</v>
      </c>
      <c r="I105">
        <v>50</v>
      </c>
      <c r="J105">
        <v>180</v>
      </c>
      <c r="K105">
        <v>1</v>
      </c>
      <c r="L105" t="s">
        <v>28</v>
      </c>
      <c r="M105" t="str">
        <f t="shared" si="3"/>
        <v>Rejected</v>
      </c>
      <c r="N105">
        <f t="shared" si="4"/>
        <v>2687</v>
      </c>
      <c r="O105">
        <f t="shared" si="5"/>
        <v>0</v>
      </c>
    </row>
    <row r="106" spans="1:15" x14ac:dyDescent="0.25">
      <c r="A106" t="s">
        <v>126</v>
      </c>
      <c r="B106" t="s">
        <v>13</v>
      </c>
      <c r="C106" t="s">
        <v>16</v>
      </c>
      <c r="D106" t="s">
        <v>34</v>
      </c>
      <c r="E106" t="s">
        <v>15</v>
      </c>
      <c r="F106" t="s">
        <v>16</v>
      </c>
      <c r="G106">
        <v>2243</v>
      </c>
      <c r="H106">
        <v>2233</v>
      </c>
      <c r="I106">
        <v>107</v>
      </c>
      <c r="J106">
        <v>360</v>
      </c>
      <c r="L106" t="s">
        <v>26</v>
      </c>
      <c r="M106" t="str">
        <f t="shared" si="3"/>
        <v>Rejected</v>
      </c>
      <c r="N106">
        <f t="shared" si="4"/>
        <v>4476</v>
      </c>
      <c r="O106">
        <f t="shared" si="5"/>
        <v>0</v>
      </c>
    </row>
    <row r="107" spans="1:15" x14ac:dyDescent="0.25">
      <c r="A107" t="s">
        <v>127</v>
      </c>
      <c r="B107" t="s">
        <v>25</v>
      </c>
      <c r="C107" t="s">
        <v>14</v>
      </c>
      <c r="D107" t="s">
        <v>389</v>
      </c>
      <c r="E107" t="s">
        <v>15</v>
      </c>
      <c r="F107" t="s">
        <v>16</v>
      </c>
      <c r="G107">
        <v>3417</v>
      </c>
      <c r="H107">
        <v>1287</v>
      </c>
      <c r="I107">
        <v>200</v>
      </c>
      <c r="J107">
        <v>360</v>
      </c>
      <c r="K107">
        <v>1</v>
      </c>
      <c r="L107" t="s">
        <v>26</v>
      </c>
      <c r="M107" t="str">
        <f t="shared" si="3"/>
        <v>Rejected</v>
      </c>
      <c r="N107">
        <f t="shared" si="4"/>
        <v>4704</v>
      </c>
      <c r="O107">
        <f t="shared" si="5"/>
        <v>0</v>
      </c>
    </row>
    <row r="108" spans="1:15" x14ac:dyDescent="0.25">
      <c r="A108" t="s">
        <v>128</v>
      </c>
      <c r="C108" t="s">
        <v>16</v>
      </c>
      <c r="D108" t="s">
        <v>389</v>
      </c>
      <c r="E108" t="s">
        <v>15</v>
      </c>
      <c r="F108" t="s">
        <v>16</v>
      </c>
      <c r="G108">
        <v>1596</v>
      </c>
      <c r="H108">
        <v>1760</v>
      </c>
      <c r="I108">
        <v>119</v>
      </c>
      <c r="J108">
        <v>360</v>
      </c>
      <c r="K108">
        <v>0</v>
      </c>
      <c r="L108" t="s">
        <v>17</v>
      </c>
      <c r="M108" t="str">
        <f t="shared" si="3"/>
        <v>Rejected</v>
      </c>
      <c r="N108">
        <f t="shared" si="4"/>
        <v>3356</v>
      </c>
      <c r="O108">
        <f t="shared" si="5"/>
        <v>0</v>
      </c>
    </row>
    <row r="109" spans="1:15" x14ac:dyDescent="0.25">
      <c r="A109" t="s">
        <v>129</v>
      </c>
      <c r="B109" t="s">
        <v>13</v>
      </c>
      <c r="C109" t="s">
        <v>14</v>
      </c>
      <c r="D109" t="s">
        <v>389</v>
      </c>
      <c r="E109" t="s">
        <v>15</v>
      </c>
      <c r="F109" t="s">
        <v>16</v>
      </c>
      <c r="G109">
        <v>4513</v>
      </c>
      <c r="H109">
        <v>0</v>
      </c>
      <c r="I109">
        <v>120</v>
      </c>
      <c r="J109">
        <v>360</v>
      </c>
      <c r="K109">
        <v>1</v>
      </c>
      <c r="L109" t="s">
        <v>28</v>
      </c>
      <c r="M109" t="str">
        <f t="shared" si="3"/>
        <v>Approved</v>
      </c>
      <c r="N109">
        <f t="shared" si="4"/>
        <v>4513</v>
      </c>
      <c r="O109">
        <f t="shared" si="5"/>
        <v>1</v>
      </c>
    </row>
    <row r="110" spans="1:15" x14ac:dyDescent="0.25">
      <c r="A110" t="s">
        <v>130</v>
      </c>
      <c r="B110" t="s">
        <v>13</v>
      </c>
      <c r="C110" t="s">
        <v>14</v>
      </c>
      <c r="D110" t="s">
        <v>389</v>
      </c>
      <c r="E110" t="s">
        <v>15</v>
      </c>
      <c r="F110" t="s">
        <v>16</v>
      </c>
      <c r="G110">
        <v>4500</v>
      </c>
      <c r="H110">
        <v>0</v>
      </c>
      <c r="I110">
        <v>140</v>
      </c>
      <c r="J110">
        <v>360</v>
      </c>
      <c r="K110">
        <v>1</v>
      </c>
      <c r="L110" t="s">
        <v>26</v>
      </c>
      <c r="M110" t="str">
        <f t="shared" si="3"/>
        <v>Approved</v>
      </c>
      <c r="N110">
        <f t="shared" si="4"/>
        <v>4500</v>
      </c>
      <c r="O110">
        <f t="shared" si="5"/>
        <v>1</v>
      </c>
    </row>
    <row r="111" spans="1:15" x14ac:dyDescent="0.25">
      <c r="A111" t="s">
        <v>131</v>
      </c>
      <c r="B111" t="s">
        <v>13</v>
      </c>
      <c r="C111" t="s">
        <v>14</v>
      </c>
      <c r="D111" t="s">
        <v>391</v>
      </c>
      <c r="E111" t="s">
        <v>22</v>
      </c>
      <c r="F111" t="s">
        <v>16</v>
      </c>
      <c r="G111">
        <v>4523</v>
      </c>
      <c r="H111">
        <v>1350</v>
      </c>
      <c r="I111">
        <v>165</v>
      </c>
      <c r="J111">
        <v>360</v>
      </c>
      <c r="K111">
        <v>1</v>
      </c>
      <c r="L111" t="s">
        <v>17</v>
      </c>
      <c r="M111" t="str">
        <f t="shared" si="3"/>
        <v>Approved</v>
      </c>
      <c r="N111">
        <f t="shared" si="4"/>
        <v>5873</v>
      </c>
      <c r="O111">
        <f t="shared" si="5"/>
        <v>1</v>
      </c>
    </row>
    <row r="112" spans="1:15" x14ac:dyDescent="0.25">
      <c r="A112" t="s">
        <v>132</v>
      </c>
      <c r="B112" t="s">
        <v>25</v>
      </c>
      <c r="C112" t="s">
        <v>16</v>
      </c>
      <c r="D112" t="s">
        <v>389</v>
      </c>
      <c r="E112" t="s">
        <v>15</v>
      </c>
      <c r="F112" t="s">
        <v>14</v>
      </c>
      <c r="G112">
        <v>4742</v>
      </c>
      <c r="H112">
        <v>0</v>
      </c>
      <c r="I112">
        <v>108</v>
      </c>
      <c r="J112">
        <v>360</v>
      </c>
      <c r="K112">
        <v>1</v>
      </c>
      <c r="L112" t="s">
        <v>26</v>
      </c>
      <c r="M112" t="str">
        <f t="shared" si="3"/>
        <v>Approved</v>
      </c>
      <c r="N112">
        <f t="shared" si="4"/>
        <v>4742</v>
      </c>
      <c r="O112">
        <f t="shared" si="5"/>
        <v>1</v>
      </c>
    </row>
    <row r="113" spans="1:15" x14ac:dyDescent="0.25">
      <c r="A113" t="s">
        <v>133</v>
      </c>
      <c r="B113" t="s">
        <v>13</v>
      </c>
      <c r="C113" t="s">
        <v>14</v>
      </c>
      <c r="D113" t="s">
        <v>390</v>
      </c>
      <c r="E113" t="s">
        <v>15</v>
      </c>
      <c r="F113" t="s">
        <v>16</v>
      </c>
      <c r="G113">
        <v>4082</v>
      </c>
      <c r="H113">
        <v>0</v>
      </c>
      <c r="I113">
        <v>93</v>
      </c>
      <c r="J113">
        <v>360</v>
      </c>
      <c r="K113">
        <v>1</v>
      </c>
      <c r="L113" t="s">
        <v>26</v>
      </c>
      <c r="M113" t="str">
        <f t="shared" si="3"/>
        <v>Approved</v>
      </c>
      <c r="N113">
        <f t="shared" si="4"/>
        <v>4082</v>
      </c>
      <c r="O113">
        <f t="shared" si="5"/>
        <v>1</v>
      </c>
    </row>
    <row r="114" spans="1:15" x14ac:dyDescent="0.25">
      <c r="A114" t="s">
        <v>134</v>
      </c>
      <c r="B114" t="s">
        <v>25</v>
      </c>
      <c r="C114" t="s">
        <v>16</v>
      </c>
      <c r="D114" t="s">
        <v>389</v>
      </c>
      <c r="E114" t="s">
        <v>15</v>
      </c>
      <c r="F114" t="s">
        <v>16</v>
      </c>
      <c r="G114">
        <v>3417</v>
      </c>
      <c r="H114">
        <v>0</v>
      </c>
      <c r="I114">
        <v>102</v>
      </c>
      <c r="J114">
        <v>360</v>
      </c>
      <c r="K114">
        <v>1</v>
      </c>
      <c r="L114" t="s">
        <v>17</v>
      </c>
      <c r="M114" t="str">
        <f t="shared" si="3"/>
        <v>Approved</v>
      </c>
      <c r="N114">
        <f t="shared" si="4"/>
        <v>3417</v>
      </c>
      <c r="O114">
        <f t="shared" si="5"/>
        <v>1</v>
      </c>
    </row>
    <row r="115" spans="1:15" x14ac:dyDescent="0.25">
      <c r="A115" t="s">
        <v>135</v>
      </c>
      <c r="B115" t="s">
        <v>25</v>
      </c>
      <c r="C115" t="s">
        <v>14</v>
      </c>
      <c r="D115" t="s">
        <v>389</v>
      </c>
      <c r="E115" t="s">
        <v>15</v>
      </c>
      <c r="F115" t="s">
        <v>16</v>
      </c>
      <c r="G115">
        <v>2922</v>
      </c>
      <c r="H115">
        <v>3396</v>
      </c>
      <c r="I115">
        <v>122</v>
      </c>
      <c r="J115">
        <v>360</v>
      </c>
      <c r="K115">
        <v>1</v>
      </c>
      <c r="L115" t="s">
        <v>26</v>
      </c>
      <c r="M115" t="str">
        <f t="shared" si="3"/>
        <v>Rejected</v>
      </c>
      <c r="N115">
        <f t="shared" si="4"/>
        <v>6318</v>
      </c>
      <c r="O115">
        <f t="shared" si="5"/>
        <v>0</v>
      </c>
    </row>
    <row r="116" spans="1:15" x14ac:dyDescent="0.25">
      <c r="A116" t="s">
        <v>136</v>
      </c>
      <c r="B116" t="s">
        <v>13</v>
      </c>
      <c r="C116" t="s">
        <v>14</v>
      </c>
      <c r="D116" t="s">
        <v>390</v>
      </c>
      <c r="E116" t="s">
        <v>15</v>
      </c>
      <c r="F116" t="s">
        <v>16</v>
      </c>
      <c r="G116">
        <v>4167</v>
      </c>
      <c r="H116">
        <v>4754</v>
      </c>
      <c r="I116">
        <v>160</v>
      </c>
      <c r="J116">
        <v>360</v>
      </c>
      <c r="K116">
        <v>1</v>
      </c>
      <c r="L116" t="s">
        <v>28</v>
      </c>
      <c r="M116" t="str">
        <f t="shared" si="3"/>
        <v>Approved</v>
      </c>
      <c r="N116">
        <f t="shared" si="4"/>
        <v>8921</v>
      </c>
      <c r="O116">
        <f t="shared" si="5"/>
        <v>1</v>
      </c>
    </row>
    <row r="117" spans="1:15" x14ac:dyDescent="0.25">
      <c r="A117" t="s">
        <v>137</v>
      </c>
      <c r="B117" t="s">
        <v>13</v>
      </c>
      <c r="C117" t="s">
        <v>16</v>
      </c>
      <c r="D117" t="s">
        <v>390</v>
      </c>
      <c r="E117" t="s">
        <v>15</v>
      </c>
      <c r="F117" t="s">
        <v>16</v>
      </c>
      <c r="G117">
        <v>4243</v>
      </c>
      <c r="H117">
        <v>4123</v>
      </c>
      <c r="I117">
        <v>157</v>
      </c>
      <c r="J117">
        <v>360</v>
      </c>
      <c r="L117" t="s">
        <v>26</v>
      </c>
      <c r="M117" t="str">
        <f t="shared" si="3"/>
        <v>Rejected</v>
      </c>
      <c r="N117">
        <f t="shared" si="4"/>
        <v>8366</v>
      </c>
      <c r="O117">
        <f t="shared" si="5"/>
        <v>0</v>
      </c>
    </row>
    <row r="118" spans="1:15" x14ac:dyDescent="0.25">
      <c r="A118" t="s">
        <v>138</v>
      </c>
      <c r="B118" t="s">
        <v>25</v>
      </c>
      <c r="C118" t="s">
        <v>16</v>
      </c>
      <c r="D118" t="s">
        <v>389</v>
      </c>
      <c r="E118" t="s">
        <v>22</v>
      </c>
      <c r="F118" t="s">
        <v>16</v>
      </c>
      <c r="G118">
        <v>0</v>
      </c>
      <c r="H118">
        <v>1760</v>
      </c>
      <c r="I118">
        <v>180</v>
      </c>
      <c r="J118">
        <v>360</v>
      </c>
      <c r="K118">
        <v>1</v>
      </c>
      <c r="L118" t="s">
        <v>26</v>
      </c>
      <c r="M118" t="str">
        <f t="shared" si="3"/>
        <v>Rejected</v>
      </c>
      <c r="N118">
        <f t="shared" si="4"/>
        <v>1760</v>
      </c>
      <c r="O118">
        <f t="shared" si="5"/>
        <v>0</v>
      </c>
    </row>
    <row r="119" spans="1:15" x14ac:dyDescent="0.25">
      <c r="A119" t="s">
        <v>139</v>
      </c>
      <c r="B119" t="s">
        <v>13</v>
      </c>
      <c r="C119" t="s">
        <v>14</v>
      </c>
      <c r="D119" t="s">
        <v>389</v>
      </c>
      <c r="E119" t="s">
        <v>15</v>
      </c>
      <c r="F119" t="s">
        <v>16</v>
      </c>
      <c r="G119">
        <v>1516</v>
      </c>
      <c r="H119">
        <v>2900</v>
      </c>
      <c r="I119">
        <v>80</v>
      </c>
      <c r="K119">
        <v>0</v>
      </c>
      <c r="L119" t="s">
        <v>28</v>
      </c>
      <c r="M119" t="str">
        <f t="shared" si="3"/>
        <v>Rejected</v>
      </c>
      <c r="N119">
        <f t="shared" si="4"/>
        <v>4416</v>
      </c>
      <c r="O119">
        <f t="shared" si="5"/>
        <v>0</v>
      </c>
    </row>
    <row r="120" spans="1:15" x14ac:dyDescent="0.25">
      <c r="A120" t="s">
        <v>140</v>
      </c>
      <c r="B120" t="s">
        <v>25</v>
      </c>
      <c r="C120" t="s">
        <v>16</v>
      </c>
      <c r="D120" t="s">
        <v>391</v>
      </c>
      <c r="E120" t="s">
        <v>15</v>
      </c>
      <c r="F120" t="s">
        <v>16</v>
      </c>
      <c r="G120">
        <v>1762</v>
      </c>
      <c r="H120">
        <v>2666</v>
      </c>
      <c r="I120">
        <v>104</v>
      </c>
      <c r="J120">
        <v>360</v>
      </c>
      <c r="K120">
        <v>0</v>
      </c>
      <c r="L120" t="s">
        <v>17</v>
      </c>
      <c r="M120" t="str">
        <f t="shared" si="3"/>
        <v>Rejected</v>
      </c>
      <c r="N120">
        <f t="shared" si="4"/>
        <v>4428</v>
      </c>
      <c r="O120">
        <f t="shared" si="5"/>
        <v>0</v>
      </c>
    </row>
    <row r="121" spans="1:15" x14ac:dyDescent="0.25">
      <c r="A121" t="s">
        <v>141</v>
      </c>
      <c r="B121" t="s">
        <v>13</v>
      </c>
      <c r="C121" t="s">
        <v>14</v>
      </c>
      <c r="D121" t="s">
        <v>390</v>
      </c>
      <c r="E121" t="s">
        <v>15</v>
      </c>
      <c r="F121" t="s">
        <v>16</v>
      </c>
      <c r="G121">
        <v>724</v>
      </c>
      <c r="H121">
        <v>3510</v>
      </c>
      <c r="I121">
        <v>213</v>
      </c>
      <c r="J121">
        <v>360</v>
      </c>
      <c r="K121">
        <v>0</v>
      </c>
      <c r="L121" t="s">
        <v>28</v>
      </c>
      <c r="M121" t="str">
        <f t="shared" si="3"/>
        <v>Rejected</v>
      </c>
      <c r="N121">
        <f t="shared" si="4"/>
        <v>4234</v>
      </c>
      <c r="O121">
        <f t="shared" si="5"/>
        <v>0</v>
      </c>
    </row>
    <row r="122" spans="1:15" x14ac:dyDescent="0.25">
      <c r="A122" t="s">
        <v>142</v>
      </c>
      <c r="B122" t="s">
        <v>13</v>
      </c>
      <c r="C122" t="s">
        <v>16</v>
      </c>
      <c r="D122" t="s">
        <v>392</v>
      </c>
      <c r="E122" t="s">
        <v>15</v>
      </c>
      <c r="F122" t="s">
        <v>16</v>
      </c>
      <c r="G122">
        <v>3125</v>
      </c>
      <c r="H122">
        <v>0</v>
      </c>
      <c r="I122">
        <v>65</v>
      </c>
      <c r="J122">
        <v>360</v>
      </c>
      <c r="K122">
        <v>1</v>
      </c>
      <c r="L122" t="s">
        <v>17</v>
      </c>
      <c r="M122" t="str">
        <f t="shared" si="3"/>
        <v>Approved</v>
      </c>
      <c r="N122">
        <f t="shared" si="4"/>
        <v>3125</v>
      </c>
      <c r="O122">
        <f t="shared" si="5"/>
        <v>1</v>
      </c>
    </row>
    <row r="123" spans="1:15" x14ac:dyDescent="0.25">
      <c r="A123" t="s">
        <v>143</v>
      </c>
      <c r="B123" t="s">
        <v>13</v>
      </c>
      <c r="C123" t="s">
        <v>14</v>
      </c>
      <c r="D123" t="s">
        <v>34</v>
      </c>
      <c r="E123" t="s">
        <v>15</v>
      </c>
      <c r="F123" t="s">
        <v>16</v>
      </c>
      <c r="G123">
        <v>2333</v>
      </c>
      <c r="H123">
        <v>3803</v>
      </c>
      <c r="I123">
        <v>146</v>
      </c>
      <c r="J123">
        <v>360</v>
      </c>
      <c r="K123">
        <v>1</v>
      </c>
      <c r="L123" t="s">
        <v>28</v>
      </c>
      <c r="M123" t="str">
        <f t="shared" si="3"/>
        <v>Rejected</v>
      </c>
      <c r="N123">
        <f t="shared" si="4"/>
        <v>6136</v>
      </c>
      <c r="O123">
        <f t="shared" si="5"/>
        <v>0</v>
      </c>
    </row>
    <row r="124" spans="1:15" x14ac:dyDescent="0.25">
      <c r="A124" t="s">
        <v>144</v>
      </c>
      <c r="B124" t="s">
        <v>13</v>
      </c>
      <c r="C124" t="s">
        <v>14</v>
      </c>
      <c r="D124" t="s">
        <v>389</v>
      </c>
      <c r="E124" t="s">
        <v>15</v>
      </c>
      <c r="F124" t="s">
        <v>16</v>
      </c>
      <c r="G124">
        <v>3350</v>
      </c>
      <c r="H124">
        <v>1560</v>
      </c>
      <c r="I124">
        <v>135</v>
      </c>
      <c r="J124">
        <v>360</v>
      </c>
      <c r="K124">
        <v>1</v>
      </c>
      <c r="L124" t="s">
        <v>17</v>
      </c>
      <c r="M124" t="str">
        <f t="shared" si="3"/>
        <v>Approved</v>
      </c>
      <c r="N124">
        <f t="shared" si="4"/>
        <v>4910</v>
      </c>
      <c r="O124">
        <f t="shared" si="5"/>
        <v>1</v>
      </c>
    </row>
    <row r="125" spans="1:15" x14ac:dyDescent="0.25">
      <c r="A125" t="s">
        <v>145</v>
      </c>
      <c r="B125" t="s">
        <v>13</v>
      </c>
      <c r="C125" t="s">
        <v>16</v>
      </c>
      <c r="D125" t="s">
        <v>34</v>
      </c>
      <c r="E125" t="s">
        <v>15</v>
      </c>
      <c r="F125" t="s">
        <v>16</v>
      </c>
      <c r="G125">
        <v>2500</v>
      </c>
      <c r="H125">
        <v>6414</v>
      </c>
      <c r="I125">
        <v>187</v>
      </c>
      <c r="J125">
        <v>360</v>
      </c>
      <c r="K125">
        <v>0</v>
      </c>
      <c r="L125" t="s">
        <v>28</v>
      </c>
      <c r="M125" t="str">
        <f t="shared" si="3"/>
        <v>Rejected</v>
      </c>
      <c r="N125">
        <f t="shared" si="4"/>
        <v>8914</v>
      </c>
      <c r="O125">
        <f t="shared" si="5"/>
        <v>0</v>
      </c>
    </row>
    <row r="126" spans="1:15" x14ac:dyDescent="0.25">
      <c r="A126" t="s">
        <v>146</v>
      </c>
      <c r="B126" t="s">
        <v>25</v>
      </c>
      <c r="C126" t="s">
        <v>16</v>
      </c>
      <c r="D126" t="s">
        <v>34</v>
      </c>
      <c r="E126" t="s">
        <v>15</v>
      </c>
      <c r="F126" t="s">
        <v>16</v>
      </c>
      <c r="G126">
        <v>12500</v>
      </c>
      <c r="H126">
        <v>0</v>
      </c>
      <c r="I126">
        <v>300</v>
      </c>
      <c r="J126">
        <v>360</v>
      </c>
      <c r="K126">
        <v>0</v>
      </c>
      <c r="L126" t="s">
        <v>17</v>
      </c>
      <c r="M126" t="str">
        <f t="shared" si="3"/>
        <v>Rejected</v>
      </c>
      <c r="N126">
        <f t="shared" si="4"/>
        <v>12500</v>
      </c>
      <c r="O126">
        <f t="shared" si="5"/>
        <v>0</v>
      </c>
    </row>
    <row r="127" spans="1:15" x14ac:dyDescent="0.25">
      <c r="A127" t="s">
        <v>147</v>
      </c>
      <c r="B127" t="s">
        <v>13</v>
      </c>
      <c r="C127" t="s">
        <v>16</v>
      </c>
      <c r="D127" t="s">
        <v>389</v>
      </c>
      <c r="E127" t="s">
        <v>15</v>
      </c>
      <c r="F127" t="s">
        <v>16</v>
      </c>
      <c r="G127">
        <v>4667</v>
      </c>
      <c r="H127">
        <v>0</v>
      </c>
      <c r="I127">
        <v>120</v>
      </c>
      <c r="J127">
        <v>360</v>
      </c>
      <c r="K127">
        <v>1</v>
      </c>
      <c r="L127" t="s">
        <v>26</v>
      </c>
      <c r="M127" t="str">
        <f t="shared" si="3"/>
        <v>Approved</v>
      </c>
      <c r="N127">
        <f t="shared" si="4"/>
        <v>4667</v>
      </c>
      <c r="O127">
        <f t="shared" si="5"/>
        <v>1</v>
      </c>
    </row>
    <row r="128" spans="1:15" x14ac:dyDescent="0.25">
      <c r="A128" t="s">
        <v>148</v>
      </c>
      <c r="B128" t="s">
        <v>13</v>
      </c>
      <c r="C128" t="s">
        <v>16</v>
      </c>
      <c r="D128" t="s">
        <v>391</v>
      </c>
      <c r="E128" t="s">
        <v>15</v>
      </c>
      <c r="F128" t="s">
        <v>16</v>
      </c>
      <c r="G128">
        <v>6500</v>
      </c>
      <c r="H128">
        <v>0</v>
      </c>
      <c r="I128">
        <v>71</v>
      </c>
      <c r="J128">
        <v>360</v>
      </c>
      <c r="K128">
        <v>0</v>
      </c>
      <c r="L128" t="s">
        <v>17</v>
      </c>
      <c r="M128" t="str">
        <f t="shared" si="3"/>
        <v>Rejected</v>
      </c>
      <c r="N128">
        <f t="shared" si="4"/>
        <v>6500</v>
      </c>
      <c r="O128">
        <f t="shared" si="5"/>
        <v>0</v>
      </c>
    </row>
    <row r="129" spans="1:15" x14ac:dyDescent="0.25">
      <c r="A129" t="s">
        <v>149</v>
      </c>
      <c r="B129" t="s">
        <v>13</v>
      </c>
      <c r="C129" t="s">
        <v>14</v>
      </c>
      <c r="D129" t="s">
        <v>389</v>
      </c>
      <c r="E129" t="s">
        <v>15</v>
      </c>
      <c r="F129" t="s">
        <v>16</v>
      </c>
      <c r="G129">
        <v>7500</v>
      </c>
      <c r="H129">
        <v>0</v>
      </c>
      <c r="I129">
        <v>225</v>
      </c>
      <c r="J129">
        <v>360</v>
      </c>
      <c r="K129">
        <v>1</v>
      </c>
      <c r="L129" t="s">
        <v>17</v>
      </c>
      <c r="M129" t="str">
        <f t="shared" si="3"/>
        <v>Rejected</v>
      </c>
      <c r="N129">
        <f t="shared" si="4"/>
        <v>7500</v>
      </c>
      <c r="O129">
        <f t="shared" si="5"/>
        <v>0</v>
      </c>
    </row>
    <row r="130" spans="1:15" x14ac:dyDescent="0.25">
      <c r="A130" t="s">
        <v>150</v>
      </c>
      <c r="B130" t="s">
        <v>13</v>
      </c>
      <c r="C130" t="s">
        <v>16</v>
      </c>
      <c r="D130" t="s">
        <v>389</v>
      </c>
      <c r="E130" t="s">
        <v>15</v>
      </c>
      <c r="F130" t="s">
        <v>16</v>
      </c>
      <c r="G130">
        <v>3073</v>
      </c>
      <c r="H130">
        <v>0</v>
      </c>
      <c r="I130">
        <v>70</v>
      </c>
      <c r="J130">
        <v>180</v>
      </c>
      <c r="K130">
        <v>1</v>
      </c>
      <c r="L130" t="s">
        <v>17</v>
      </c>
      <c r="M130" t="str">
        <f t="shared" si="3"/>
        <v>Approved</v>
      </c>
      <c r="N130">
        <f t="shared" si="4"/>
        <v>3073</v>
      </c>
      <c r="O130">
        <f t="shared" si="5"/>
        <v>1</v>
      </c>
    </row>
    <row r="131" spans="1:15" x14ac:dyDescent="0.25">
      <c r="A131" t="s">
        <v>151</v>
      </c>
      <c r="B131" t="s">
        <v>13</v>
      </c>
      <c r="C131" t="s">
        <v>14</v>
      </c>
      <c r="D131" t="s">
        <v>389</v>
      </c>
      <c r="E131" t="s">
        <v>22</v>
      </c>
      <c r="F131" t="s">
        <v>16</v>
      </c>
      <c r="G131">
        <v>3321</v>
      </c>
      <c r="H131">
        <v>2088</v>
      </c>
      <c r="I131">
        <v>70</v>
      </c>
      <c r="K131">
        <v>1</v>
      </c>
      <c r="L131" t="s">
        <v>26</v>
      </c>
      <c r="M131" t="str">
        <f t="shared" ref="M131:M194" si="6">IF(AND(K131=1,G131&gt;3000,I131&lt;200),"Approved","Rejected")</f>
        <v>Approved</v>
      </c>
      <c r="N131">
        <f t="shared" ref="N131:N194" si="7">G131+H131</f>
        <v>5409</v>
      </c>
      <c r="O131">
        <f t="shared" ref="O131:O194" si="8">IF(M131="Approved",1,0)</f>
        <v>1</v>
      </c>
    </row>
    <row r="132" spans="1:15" x14ac:dyDescent="0.25">
      <c r="A132" t="s">
        <v>152</v>
      </c>
      <c r="B132" t="s">
        <v>13</v>
      </c>
      <c r="C132" t="s">
        <v>14</v>
      </c>
      <c r="D132" t="s">
        <v>390</v>
      </c>
      <c r="E132" t="s">
        <v>15</v>
      </c>
      <c r="F132" t="s">
        <v>16</v>
      </c>
      <c r="G132">
        <v>3333</v>
      </c>
      <c r="H132">
        <v>1270</v>
      </c>
      <c r="I132">
        <v>124</v>
      </c>
      <c r="J132">
        <v>360</v>
      </c>
      <c r="K132">
        <v>1</v>
      </c>
      <c r="L132" t="s">
        <v>17</v>
      </c>
      <c r="M132" t="str">
        <f t="shared" si="6"/>
        <v>Approved</v>
      </c>
      <c r="N132">
        <f t="shared" si="7"/>
        <v>4603</v>
      </c>
      <c r="O132">
        <f t="shared" si="8"/>
        <v>1</v>
      </c>
    </row>
    <row r="133" spans="1:15" x14ac:dyDescent="0.25">
      <c r="A133" t="s">
        <v>153</v>
      </c>
      <c r="B133" t="s">
        <v>13</v>
      </c>
      <c r="C133" t="s">
        <v>16</v>
      </c>
      <c r="D133" t="s">
        <v>389</v>
      </c>
      <c r="E133" t="s">
        <v>15</v>
      </c>
      <c r="F133" t="s">
        <v>16</v>
      </c>
      <c r="G133">
        <v>3391</v>
      </c>
      <c r="H133">
        <v>0</v>
      </c>
      <c r="I133">
        <v>132</v>
      </c>
      <c r="J133">
        <v>360</v>
      </c>
      <c r="K133">
        <v>1</v>
      </c>
      <c r="L133" t="s">
        <v>28</v>
      </c>
      <c r="M133" t="str">
        <f t="shared" si="6"/>
        <v>Approved</v>
      </c>
      <c r="N133">
        <f t="shared" si="7"/>
        <v>3391</v>
      </c>
      <c r="O133">
        <f t="shared" si="8"/>
        <v>1</v>
      </c>
    </row>
    <row r="134" spans="1:15" x14ac:dyDescent="0.25">
      <c r="A134" t="s">
        <v>154</v>
      </c>
      <c r="B134" t="s">
        <v>13</v>
      </c>
      <c r="C134" t="s">
        <v>14</v>
      </c>
      <c r="D134" t="s">
        <v>389</v>
      </c>
      <c r="E134" t="s">
        <v>15</v>
      </c>
      <c r="F134" t="s">
        <v>14</v>
      </c>
      <c r="G134">
        <v>3343</v>
      </c>
      <c r="H134">
        <v>1517</v>
      </c>
      <c r="I134">
        <v>105</v>
      </c>
      <c r="J134">
        <v>360</v>
      </c>
      <c r="K134">
        <v>1</v>
      </c>
      <c r="L134" t="s">
        <v>28</v>
      </c>
      <c r="M134" t="str">
        <f t="shared" si="6"/>
        <v>Approved</v>
      </c>
      <c r="N134">
        <f t="shared" si="7"/>
        <v>4860</v>
      </c>
      <c r="O134">
        <f t="shared" si="8"/>
        <v>1</v>
      </c>
    </row>
    <row r="135" spans="1:15" x14ac:dyDescent="0.25">
      <c r="A135" t="s">
        <v>155</v>
      </c>
      <c r="B135" t="s">
        <v>25</v>
      </c>
      <c r="C135" t="s">
        <v>16</v>
      </c>
      <c r="D135" t="s">
        <v>389</v>
      </c>
      <c r="E135" t="s">
        <v>15</v>
      </c>
      <c r="F135" t="s">
        <v>16</v>
      </c>
      <c r="G135">
        <v>3620</v>
      </c>
      <c r="H135">
        <v>0</v>
      </c>
      <c r="I135">
        <v>90</v>
      </c>
      <c r="J135">
        <v>360</v>
      </c>
      <c r="K135">
        <v>1</v>
      </c>
      <c r="L135" t="s">
        <v>17</v>
      </c>
      <c r="M135" t="str">
        <f t="shared" si="6"/>
        <v>Approved</v>
      </c>
      <c r="N135">
        <f t="shared" si="7"/>
        <v>3620</v>
      </c>
      <c r="O135">
        <f t="shared" si="8"/>
        <v>1</v>
      </c>
    </row>
    <row r="136" spans="1:15" x14ac:dyDescent="0.25">
      <c r="A136" t="s">
        <v>156</v>
      </c>
      <c r="B136" t="s">
        <v>13</v>
      </c>
      <c r="C136" t="s">
        <v>16</v>
      </c>
      <c r="D136" t="s">
        <v>389</v>
      </c>
      <c r="E136" t="s">
        <v>15</v>
      </c>
      <c r="F136" t="s">
        <v>16</v>
      </c>
      <c r="G136">
        <v>4000</v>
      </c>
      <c r="H136">
        <v>0</v>
      </c>
      <c r="I136">
        <v>83</v>
      </c>
      <c r="J136">
        <v>84</v>
      </c>
      <c r="K136">
        <v>1</v>
      </c>
      <c r="L136" t="s">
        <v>17</v>
      </c>
      <c r="M136" t="str">
        <f t="shared" si="6"/>
        <v>Approved</v>
      </c>
      <c r="N136">
        <f t="shared" si="7"/>
        <v>4000</v>
      </c>
      <c r="O136">
        <f t="shared" si="8"/>
        <v>1</v>
      </c>
    </row>
    <row r="137" spans="1:15" x14ac:dyDescent="0.25">
      <c r="A137" t="s">
        <v>157</v>
      </c>
      <c r="B137" t="s">
        <v>13</v>
      </c>
      <c r="C137" t="s">
        <v>14</v>
      </c>
      <c r="D137" t="s">
        <v>390</v>
      </c>
      <c r="E137" t="s">
        <v>15</v>
      </c>
      <c r="F137" t="s">
        <v>16</v>
      </c>
      <c r="G137">
        <v>4258</v>
      </c>
      <c r="H137">
        <v>0</v>
      </c>
      <c r="I137">
        <v>125</v>
      </c>
      <c r="J137">
        <v>360</v>
      </c>
      <c r="K137">
        <v>1</v>
      </c>
      <c r="L137" t="s">
        <v>17</v>
      </c>
      <c r="M137" t="str">
        <f t="shared" si="6"/>
        <v>Approved</v>
      </c>
      <c r="N137">
        <f t="shared" si="7"/>
        <v>4258</v>
      </c>
      <c r="O137">
        <f t="shared" si="8"/>
        <v>1</v>
      </c>
    </row>
    <row r="138" spans="1:15" x14ac:dyDescent="0.25">
      <c r="A138" t="s">
        <v>158</v>
      </c>
      <c r="B138" t="s">
        <v>13</v>
      </c>
      <c r="C138" t="s">
        <v>14</v>
      </c>
      <c r="D138" t="s">
        <v>391</v>
      </c>
      <c r="E138" t="s">
        <v>15</v>
      </c>
      <c r="F138" t="s">
        <v>16</v>
      </c>
      <c r="G138">
        <v>4500</v>
      </c>
      <c r="H138">
        <v>0</v>
      </c>
      <c r="I138">
        <v>147</v>
      </c>
      <c r="J138">
        <v>360</v>
      </c>
      <c r="K138">
        <v>1</v>
      </c>
      <c r="L138" t="s">
        <v>28</v>
      </c>
      <c r="M138" t="str">
        <f t="shared" si="6"/>
        <v>Approved</v>
      </c>
      <c r="N138">
        <f t="shared" si="7"/>
        <v>4500</v>
      </c>
      <c r="O138">
        <f t="shared" si="8"/>
        <v>1</v>
      </c>
    </row>
    <row r="139" spans="1:15" x14ac:dyDescent="0.25">
      <c r="A139" t="s">
        <v>159</v>
      </c>
      <c r="B139" t="s">
        <v>13</v>
      </c>
      <c r="C139" t="s">
        <v>14</v>
      </c>
      <c r="D139" t="s">
        <v>389</v>
      </c>
      <c r="E139" t="s">
        <v>15</v>
      </c>
      <c r="F139" t="s">
        <v>16</v>
      </c>
      <c r="G139">
        <v>2014</v>
      </c>
      <c r="H139">
        <v>2925</v>
      </c>
      <c r="I139">
        <v>120</v>
      </c>
      <c r="J139">
        <v>360</v>
      </c>
      <c r="K139">
        <v>1</v>
      </c>
      <c r="L139" t="s">
        <v>28</v>
      </c>
      <c r="M139" t="str">
        <f t="shared" si="6"/>
        <v>Rejected</v>
      </c>
      <c r="N139">
        <f t="shared" si="7"/>
        <v>4939</v>
      </c>
      <c r="O139">
        <f t="shared" si="8"/>
        <v>0</v>
      </c>
    </row>
    <row r="140" spans="1:15" x14ac:dyDescent="0.25">
      <c r="A140" t="s">
        <v>160</v>
      </c>
      <c r="C140" t="s">
        <v>16</v>
      </c>
      <c r="D140" t="s">
        <v>391</v>
      </c>
      <c r="E140" t="s">
        <v>15</v>
      </c>
      <c r="F140" t="s">
        <v>16</v>
      </c>
      <c r="G140">
        <v>3333</v>
      </c>
      <c r="H140">
        <v>1250</v>
      </c>
      <c r="I140">
        <v>110</v>
      </c>
      <c r="J140">
        <v>360</v>
      </c>
      <c r="K140">
        <v>1</v>
      </c>
      <c r="L140" t="s">
        <v>26</v>
      </c>
      <c r="M140" t="str">
        <f t="shared" si="6"/>
        <v>Approved</v>
      </c>
      <c r="N140">
        <f t="shared" si="7"/>
        <v>4583</v>
      </c>
      <c r="O140">
        <f t="shared" si="8"/>
        <v>1</v>
      </c>
    </row>
    <row r="141" spans="1:15" x14ac:dyDescent="0.25">
      <c r="A141" t="s">
        <v>161</v>
      </c>
      <c r="B141" t="s">
        <v>25</v>
      </c>
      <c r="C141" t="s">
        <v>16</v>
      </c>
      <c r="D141" t="s">
        <v>389</v>
      </c>
      <c r="E141" t="s">
        <v>15</v>
      </c>
      <c r="F141" t="s">
        <v>16</v>
      </c>
      <c r="G141">
        <v>4083</v>
      </c>
      <c r="H141">
        <v>0</v>
      </c>
      <c r="I141">
        <v>103</v>
      </c>
      <c r="J141">
        <v>360</v>
      </c>
      <c r="L141" t="s">
        <v>26</v>
      </c>
      <c r="M141" t="str">
        <f t="shared" si="6"/>
        <v>Rejected</v>
      </c>
      <c r="N141">
        <f t="shared" si="7"/>
        <v>4083</v>
      </c>
      <c r="O141">
        <f t="shared" si="8"/>
        <v>0</v>
      </c>
    </row>
    <row r="142" spans="1:15" x14ac:dyDescent="0.25">
      <c r="A142" t="s">
        <v>162</v>
      </c>
      <c r="B142" t="s">
        <v>13</v>
      </c>
      <c r="C142" t="s">
        <v>16</v>
      </c>
      <c r="D142" t="s">
        <v>390</v>
      </c>
      <c r="E142" t="s">
        <v>15</v>
      </c>
      <c r="F142" t="s">
        <v>16</v>
      </c>
      <c r="G142">
        <v>4727</v>
      </c>
      <c r="H142">
        <v>0</v>
      </c>
      <c r="I142">
        <v>150</v>
      </c>
      <c r="J142">
        <v>360</v>
      </c>
      <c r="K142">
        <v>0</v>
      </c>
      <c r="L142" t="s">
        <v>28</v>
      </c>
      <c r="M142" t="str">
        <f t="shared" si="6"/>
        <v>Rejected</v>
      </c>
      <c r="N142">
        <f t="shared" si="7"/>
        <v>4727</v>
      </c>
      <c r="O142">
        <f t="shared" si="8"/>
        <v>0</v>
      </c>
    </row>
    <row r="143" spans="1:15" x14ac:dyDescent="0.25">
      <c r="A143" t="s">
        <v>163</v>
      </c>
      <c r="B143" t="s">
        <v>13</v>
      </c>
      <c r="C143" t="s">
        <v>14</v>
      </c>
      <c r="D143" t="s">
        <v>389</v>
      </c>
      <c r="E143" t="s">
        <v>15</v>
      </c>
      <c r="F143" t="s">
        <v>16</v>
      </c>
      <c r="G143">
        <v>3089</v>
      </c>
      <c r="H143">
        <v>2999</v>
      </c>
      <c r="I143">
        <v>100</v>
      </c>
      <c r="J143">
        <v>240</v>
      </c>
      <c r="K143">
        <v>1</v>
      </c>
      <c r="L143" t="s">
        <v>28</v>
      </c>
      <c r="M143" t="str">
        <f t="shared" si="6"/>
        <v>Approved</v>
      </c>
      <c r="N143">
        <f t="shared" si="7"/>
        <v>6088</v>
      </c>
      <c r="O143">
        <f t="shared" si="8"/>
        <v>1</v>
      </c>
    </row>
    <row r="144" spans="1:15" x14ac:dyDescent="0.25">
      <c r="A144" t="s">
        <v>164</v>
      </c>
      <c r="B144" t="s">
        <v>13</v>
      </c>
      <c r="C144" t="s">
        <v>14</v>
      </c>
      <c r="D144" t="s">
        <v>389</v>
      </c>
      <c r="E144" t="s">
        <v>22</v>
      </c>
      <c r="G144">
        <v>6794</v>
      </c>
      <c r="H144">
        <v>528</v>
      </c>
      <c r="I144">
        <v>139</v>
      </c>
      <c r="J144">
        <v>360</v>
      </c>
      <c r="K144">
        <v>0</v>
      </c>
      <c r="L144" t="s">
        <v>17</v>
      </c>
      <c r="M144" t="str">
        <f t="shared" si="6"/>
        <v>Rejected</v>
      </c>
      <c r="N144">
        <f t="shared" si="7"/>
        <v>7322</v>
      </c>
      <c r="O144">
        <f t="shared" si="8"/>
        <v>0</v>
      </c>
    </row>
    <row r="145" spans="1:15" x14ac:dyDescent="0.25">
      <c r="A145" t="s">
        <v>165</v>
      </c>
      <c r="B145" t="s">
        <v>13</v>
      </c>
      <c r="C145" t="s">
        <v>14</v>
      </c>
      <c r="D145" t="s">
        <v>389</v>
      </c>
      <c r="E145" t="s">
        <v>15</v>
      </c>
      <c r="F145" t="s">
        <v>14</v>
      </c>
      <c r="G145">
        <v>32000</v>
      </c>
      <c r="H145">
        <v>0</v>
      </c>
      <c r="I145">
        <v>550</v>
      </c>
      <c r="J145">
        <v>360</v>
      </c>
      <c r="L145" t="s">
        <v>26</v>
      </c>
      <c r="M145" t="str">
        <f t="shared" si="6"/>
        <v>Rejected</v>
      </c>
      <c r="N145">
        <f t="shared" si="7"/>
        <v>32000</v>
      </c>
      <c r="O145">
        <f t="shared" si="8"/>
        <v>0</v>
      </c>
    </row>
    <row r="146" spans="1:15" x14ac:dyDescent="0.25">
      <c r="A146" t="s">
        <v>166</v>
      </c>
      <c r="B146" t="s">
        <v>13</v>
      </c>
      <c r="C146" t="s">
        <v>14</v>
      </c>
      <c r="D146" t="s">
        <v>389</v>
      </c>
      <c r="E146" t="s">
        <v>15</v>
      </c>
      <c r="F146" t="s">
        <v>14</v>
      </c>
      <c r="G146">
        <v>10890</v>
      </c>
      <c r="H146">
        <v>0</v>
      </c>
      <c r="I146">
        <v>260</v>
      </c>
      <c r="J146">
        <v>12</v>
      </c>
      <c r="K146">
        <v>1</v>
      </c>
      <c r="L146" t="s">
        <v>28</v>
      </c>
      <c r="M146" t="str">
        <f t="shared" si="6"/>
        <v>Rejected</v>
      </c>
      <c r="N146">
        <f t="shared" si="7"/>
        <v>10890</v>
      </c>
      <c r="O146">
        <f t="shared" si="8"/>
        <v>0</v>
      </c>
    </row>
    <row r="147" spans="1:15" x14ac:dyDescent="0.25">
      <c r="A147" t="s">
        <v>167</v>
      </c>
      <c r="B147" t="s">
        <v>25</v>
      </c>
      <c r="C147" t="s">
        <v>16</v>
      </c>
      <c r="D147" t="s">
        <v>389</v>
      </c>
      <c r="E147" t="s">
        <v>15</v>
      </c>
      <c r="F147" t="s">
        <v>16</v>
      </c>
      <c r="G147">
        <v>12941</v>
      </c>
      <c r="H147">
        <v>0</v>
      </c>
      <c r="I147">
        <v>150</v>
      </c>
      <c r="J147">
        <v>300</v>
      </c>
      <c r="K147">
        <v>1</v>
      </c>
      <c r="L147" t="s">
        <v>17</v>
      </c>
      <c r="M147" t="str">
        <f t="shared" si="6"/>
        <v>Approved</v>
      </c>
      <c r="N147">
        <f t="shared" si="7"/>
        <v>12941</v>
      </c>
      <c r="O147">
        <f t="shared" si="8"/>
        <v>1</v>
      </c>
    </row>
    <row r="148" spans="1:15" x14ac:dyDescent="0.25">
      <c r="A148" t="s">
        <v>168</v>
      </c>
      <c r="B148" t="s">
        <v>13</v>
      </c>
      <c r="C148" t="s">
        <v>16</v>
      </c>
      <c r="D148" t="s">
        <v>390</v>
      </c>
      <c r="E148" t="s">
        <v>22</v>
      </c>
      <c r="F148" t="s">
        <v>16</v>
      </c>
      <c r="G148">
        <v>3276</v>
      </c>
      <c r="H148">
        <v>0</v>
      </c>
      <c r="I148">
        <v>90</v>
      </c>
      <c r="J148">
        <v>360</v>
      </c>
      <c r="K148">
        <v>1</v>
      </c>
      <c r="L148" t="s">
        <v>26</v>
      </c>
      <c r="M148" t="str">
        <f t="shared" si="6"/>
        <v>Approved</v>
      </c>
      <c r="N148">
        <f t="shared" si="7"/>
        <v>3276</v>
      </c>
      <c r="O148">
        <f t="shared" si="8"/>
        <v>1</v>
      </c>
    </row>
    <row r="149" spans="1:15" x14ac:dyDescent="0.25">
      <c r="A149" t="s">
        <v>169</v>
      </c>
      <c r="B149" t="s">
        <v>13</v>
      </c>
      <c r="C149" t="s">
        <v>16</v>
      </c>
      <c r="D149" t="s">
        <v>389</v>
      </c>
      <c r="E149" t="s">
        <v>22</v>
      </c>
      <c r="F149" t="s">
        <v>14</v>
      </c>
      <c r="G149">
        <v>8703</v>
      </c>
      <c r="H149">
        <v>0</v>
      </c>
      <c r="I149">
        <v>199</v>
      </c>
      <c r="J149">
        <v>360</v>
      </c>
      <c r="K149">
        <v>0</v>
      </c>
      <c r="L149" t="s">
        <v>28</v>
      </c>
      <c r="M149" t="str">
        <f t="shared" si="6"/>
        <v>Rejected</v>
      </c>
      <c r="N149">
        <f t="shared" si="7"/>
        <v>8703</v>
      </c>
      <c r="O149">
        <f t="shared" si="8"/>
        <v>0</v>
      </c>
    </row>
    <row r="150" spans="1:15" x14ac:dyDescent="0.25">
      <c r="A150" t="s">
        <v>170</v>
      </c>
      <c r="B150" t="s">
        <v>13</v>
      </c>
      <c r="C150" t="s">
        <v>14</v>
      </c>
      <c r="D150" t="s">
        <v>391</v>
      </c>
      <c r="E150" t="s">
        <v>15</v>
      </c>
      <c r="F150" t="s">
        <v>16</v>
      </c>
      <c r="G150">
        <v>4742</v>
      </c>
      <c r="H150">
        <v>717</v>
      </c>
      <c r="I150">
        <v>139</v>
      </c>
      <c r="J150">
        <v>360</v>
      </c>
      <c r="K150">
        <v>1</v>
      </c>
      <c r="L150" t="s">
        <v>26</v>
      </c>
      <c r="M150" t="str">
        <f t="shared" si="6"/>
        <v>Approved</v>
      </c>
      <c r="N150">
        <f t="shared" si="7"/>
        <v>5459</v>
      </c>
      <c r="O150">
        <f t="shared" si="8"/>
        <v>1</v>
      </c>
    </row>
    <row r="151" spans="1:15" x14ac:dyDescent="0.25">
      <c r="A151" t="s">
        <v>171</v>
      </c>
      <c r="B151" t="s">
        <v>13</v>
      </c>
      <c r="C151" t="s">
        <v>16</v>
      </c>
      <c r="D151" t="s">
        <v>389</v>
      </c>
      <c r="E151" t="s">
        <v>15</v>
      </c>
      <c r="F151" t="s">
        <v>16</v>
      </c>
      <c r="G151">
        <v>5900</v>
      </c>
      <c r="H151">
        <v>0</v>
      </c>
      <c r="I151">
        <v>150</v>
      </c>
      <c r="J151">
        <v>360</v>
      </c>
      <c r="K151">
        <v>1</v>
      </c>
      <c r="L151" t="s">
        <v>17</v>
      </c>
      <c r="M151" t="str">
        <f t="shared" si="6"/>
        <v>Approved</v>
      </c>
      <c r="N151">
        <f t="shared" si="7"/>
        <v>5900</v>
      </c>
      <c r="O151">
        <f t="shared" si="8"/>
        <v>1</v>
      </c>
    </row>
    <row r="152" spans="1:15" x14ac:dyDescent="0.25">
      <c r="A152" t="s">
        <v>172</v>
      </c>
      <c r="B152" t="s">
        <v>13</v>
      </c>
      <c r="C152" t="s">
        <v>16</v>
      </c>
      <c r="D152" t="s">
        <v>34</v>
      </c>
      <c r="E152" t="s">
        <v>15</v>
      </c>
      <c r="F152" t="s">
        <v>16</v>
      </c>
      <c r="G152">
        <v>3071</v>
      </c>
      <c r="H152">
        <v>4309</v>
      </c>
      <c r="I152">
        <v>180</v>
      </c>
      <c r="J152">
        <v>360</v>
      </c>
      <c r="K152">
        <v>1</v>
      </c>
      <c r="L152" t="s">
        <v>17</v>
      </c>
      <c r="M152" t="str">
        <f t="shared" si="6"/>
        <v>Approved</v>
      </c>
      <c r="N152">
        <f t="shared" si="7"/>
        <v>7380</v>
      </c>
      <c r="O152">
        <f t="shared" si="8"/>
        <v>1</v>
      </c>
    </row>
    <row r="153" spans="1:15" x14ac:dyDescent="0.25">
      <c r="A153" t="s">
        <v>173</v>
      </c>
      <c r="B153" t="s">
        <v>13</v>
      </c>
      <c r="C153" t="s">
        <v>14</v>
      </c>
      <c r="D153" t="s">
        <v>390</v>
      </c>
      <c r="E153" t="s">
        <v>15</v>
      </c>
      <c r="F153" t="s">
        <v>16</v>
      </c>
      <c r="G153">
        <v>2783</v>
      </c>
      <c r="H153">
        <v>1456</v>
      </c>
      <c r="I153">
        <v>113</v>
      </c>
      <c r="J153">
        <v>360</v>
      </c>
      <c r="K153">
        <v>1</v>
      </c>
      <c r="L153" t="s">
        <v>17</v>
      </c>
      <c r="M153" t="str">
        <f t="shared" si="6"/>
        <v>Rejected</v>
      </c>
      <c r="N153">
        <f t="shared" si="7"/>
        <v>4239</v>
      </c>
      <c r="O153">
        <f t="shared" si="8"/>
        <v>0</v>
      </c>
    </row>
    <row r="154" spans="1:15" x14ac:dyDescent="0.25">
      <c r="A154" t="s">
        <v>174</v>
      </c>
      <c r="B154" t="s">
        <v>13</v>
      </c>
      <c r="C154" t="s">
        <v>16</v>
      </c>
      <c r="D154" t="s">
        <v>389</v>
      </c>
      <c r="E154" t="s">
        <v>15</v>
      </c>
      <c r="F154" t="s">
        <v>16</v>
      </c>
      <c r="G154">
        <v>5000</v>
      </c>
      <c r="H154">
        <v>0</v>
      </c>
      <c r="I154">
        <v>148</v>
      </c>
      <c r="J154">
        <v>360</v>
      </c>
      <c r="K154">
        <v>1</v>
      </c>
      <c r="L154" t="s">
        <v>28</v>
      </c>
      <c r="M154" t="str">
        <f t="shared" si="6"/>
        <v>Approved</v>
      </c>
      <c r="N154">
        <f t="shared" si="7"/>
        <v>5000</v>
      </c>
      <c r="O154">
        <f t="shared" si="8"/>
        <v>1</v>
      </c>
    </row>
    <row r="155" spans="1:15" x14ac:dyDescent="0.25">
      <c r="A155" t="s">
        <v>175</v>
      </c>
      <c r="B155" t="s">
        <v>13</v>
      </c>
      <c r="C155" t="s">
        <v>14</v>
      </c>
      <c r="D155" t="s">
        <v>391</v>
      </c>
      <c r="E155" t="s">
        <v>22</v>
      </c>
      <c r="F155" t="s">
        <v>16</v>
      </c>
      <c r="G155">
        <v>2463</v>
      </c>
      <c r="H155">
        <v>2360</v>
      </c>
      <c r="I155">
        <v>117</v>
      </c>
      <c r="J155">
        <v>360</v>
      </c>
      <c r="K155">
        <v>0</v>
      </c>
      <c r="L155" t="s">
        <v>17</v>
      </c>
      <c r="M155" t="str">
        <f t="shared" si="6"/>
        <v>Rejected</v>
      </c>
      <c r="N155">
        <f t="shared" si="7"/>
        <v>4823</v>
      </c>
      <c r="O155">
        <f t="shared" si="8"/>
        <v>0</v>
      </c>
    </row>
    <row r="156" spans="1:15" x14ac:dyDescent="0.25">
      <c r="A156" t="s">
        <v>176</v>
      </c>
      <c r="B156" t="s">
        <v>13</v>
      </c>
      <c r="C156" t="s">
        <v>14</v>
      </c>
      <c r="D156" t="s">
        <v>389</v>
      </c>
      <c r="E156" t="s">
        <v>15</v>
      </c>
      <c r="F156" t="s">
        <v>16</v>
      </c>
      <c r="G156">
        <v>4855</v>
      </c>
      <c r="H156">
        <v>0</v>
      </c>
      <c r="I156">
        <v>72</v>
      </c>
      <c r="J156">
        <v>360</v>
      </c>
      <c r="K156">
        <v>1</v>
      </c>
      <c r="L156" t="s">
        <v>28</v>
      </c>
      <c r="M156" t="str">
        <f t="shared" si="6"/>
        <v>Approved</v>
      </c>
      <c r="N156">
        <f t="shared" si="7"/>
        <v>4855</v>
      </c>
      <c r="O156">
        <f t="shared" si="8"/>
        <v>1</v>
      </c>
    </row>
    <row r="157" spans="1:15" x14ac:dyDescent="0.25">
      <c r="A157" t="s">
        <v>177</v>
      </c>
      <c r="B157" t="s">
        <v>13</v>
      </c>
      <c r="C157" t="s">
        <v>16</v>
      </c>
      <c r="D157" t="s">
        <v>389</v>
      </c>
      <c r="E157" t="s">
        <v>22</v>
      </c>
      <c r="F157" t="s">
        <v>14</v>
      </c>
      <c r="G157">
        <v>1599</v>
      </c>
      <c r="H157">
        <v>2474</v>
      </c>
      <c r="I157">
        <v>125</v>
      </c>
      <c r="J157">
        <v>300</v>
      </c>
      <c r="K157">
        <v>1</v>
      </c>
      <c r="L157" t="s">
        <v>26</v>
      </c>
      <c r="M157" t="str">
        <f t="shared" si="6"/>
        <v>Rejected</v>
      </c>
      <c r="N157">
        <f t="shared" si="7"/>
        <v>4073</v>
      </c>
      <c r="O157">
        <f t="shared" si="8"/>
        <v>0</v>
      </c>
    </row>
    <row r="158" spans="1:15" x14ac:dyDescent="0.25">
      <c r="A158" t="s">
        <v>178</v>
      </c>
      <c r="B158" t="s">
        <v>13</v>
      </c>
      <c r="C158" t="s">
        <v>14</v>
      </c>
      <c r="D158" t="s">
        <v>389</v>
      </c>
      <c r="E158" t="s">
        <v>15</v>
      </c>
      <c r="F158" t="s">
        <v>14</v>
      </c>
      <c r="G158">
        <v>4246</v>
      </c>
      <c r="H158">
        <v>4246</v>
      </c>
      <c r="I158">
        <v>214</v>
      </c>
      <c r="J158">
        <v>360</v>
      </c>
      <c r="K158">
        <v>1</v>
      </c>
      <c r="L158" t="s">
        <v>17</v>
      </c>
      <c r="M158" t="str">
        <f t="shared" si="6"/>
        <v>Rejected</v>
      </c>
      <c r="N158">
        <f t="shared" si="7"/>
        <v>8492</v>
      </c>
      <c r="O158">
        <f t="shared" si="8"/>
        <v>0</v>
      </c>
    </row>
    <row r="159" spans="1:15" x14ac:dyDescent="0.25">
      <c r="A159" t="s">
        <v>179</v>
      </c>
      <c r="B159" t="s">
        <v>13</v>
      </c>
      <c r="C159" t="s">
        <v>14</v>
      </c>
      <c r="D159" t="s">
        <v>391</v>
      </c>
      <c r="E159" t="s">
        <v>15</v>
      </c>
      <c r="F159" t="s">
        <v>16</v>
      </c>
      <c r="G159">
        <v>4333</v>
      </c>
      <c r="H159">
        <v>2291</v>
      </c>
      <c r="I159">
        <v>133</v>
      </c>
      <c r="J159">
        <v>350</v>
      </c>
      <c r="K159">
        <v>1</v>
      </c>
      <c r="L159" t="s">
        <v>28</v>
      </c>
      <c r="M159" t="str">
        <f t="shared" si="6"/>
        <v>Approved</v>
      </c>
      <c r="N159">
        <f t="shared" si="7"/>
        <v>6624</v>
      </c>
      <c r="O159">
        <f t="shared" si="8"/>
        <v>1</v>
      </c>
    </row>
    <row r="160" spans="1:15" x14ac:dyDescent="0.25">
      <c r="A160" t="s">
        <v>180</v>
      </c>
      <c r="B160" t="s">
        <v>13</v>
      </c>
      <c r="C160" t="s">
        <v>16</v>
      </c>
      <c r="D160" t="s">
        <v>391</v>
      </c>
      <c r="E160" t="s">
        <v>15</v>
      </c>
      <c r="F160" t="s">
        <v>16</v>
      </c>
      <c r="G160">
        <v>5823</v>
      </c>
      <c r="H160">
        <v>2529</v>
      </c>
      <c r="I160">
        <v>187</v>
      </c>
      <c r="J160">
        <v>360</v>
      </c>
      <c r="K160">
        <v>1</v>
      </c>
      <c r="L160" t="s">
        <v>26</v>
      </c>
      <c r="M160" t="str">
        <f t="shared" si="6"/>
        <v>Approved</v>
      </c>
      <c r="N160">
        <f t="shared" si="7"/>
        <v>8352</v>
      </c>
      <c r="O160">
        <f t="shared" si="8"/>
        <v>1</v>
      </c>
    </row>
    <row r="161" spans="1:15" x14ac:dyDescent="0.25">
      <c r="A161" t="s">
        <v>181</v>
      </c>
      <c r="B161" t="s">
        <v>13</v>
      </c>
      <c r="C161" t="s">
        <v>14</v>
      </c>
      <c r="D161" t="s">
        <v>389</v>
      </c>
      <c r="E161" t="s">
        <v>22</v>
      </c>
      <c r="F161" t="s">
        <v>16</v>
      </c>
      <c r="G161">
        <v>7895</v>
      </c>
      <c r="H161">
        <v>0</v>
      </c>
      <c r="I161">
        <v>143</v>
      </c>
      <c r="J161">
        <v>360</v>
      </c>
      <c r="K161">
        <v>1</v>
      </c>
      <c r="L161" t="s">
        <v>28</v>
      </c>
      <c r="M161" t="str">
        <f t="shared" si="6"/>
        <v>Approved</v>
      </c>
      <c r="N161">
        <f t="shared" si="7"/>
        <v>7895</v>
      </c>
      <c r="O161">
        <f t="shared" si="8"/>
        <v>1</v>
      </c>
    </row>
    <row r="162" spans="1:15" x14ac:dyDescent="0.25">
      <c r="A162" t="s">
        <v>182</v>
      </c>
      <c r="B162" t="s">
        <v>13</v>
      </c>
      <c r="C162" t="s">
        <v>16</v>
      </c>
      <c r="D162" t="s">
        <v>391</v>
      </c>
      <c r="E162" t="s">
        <v>15</v>
      </c>
      <c r="F162" t="s">
        <v>16</v>
      </c>
      <c r="G162">
        <v>4150</v>
      </c>
      <c r="H162">
        <v>4256</v>
      </c>
      <c r="I162">
        <v>209</v>
      </c>
      <c r="J162">
        <v>360</v>
      </c>
      <c r="K162">
        <v>1</v>
      </c>
      <c r="L162" t="s">
        <v>28</v>
      </c>
      <c r="M162" t="str">
        <f t="shared" si="6"/>
        <v>Rejected</v>
      </c>
      <c r="N162">
        <f t="shared" si="7"/>
        <v>8406</v>
      </c>
      <c r="O162">
        <f t="shared" si="8"/>
        <v>0</v>
      </c>
    </row>
    <row r="163" spans="1:15" x14ac:dyDescent="0.25">
      <c r="A163" t="s">
        <v>183</v>
      </c>
      <c r="B163" t="s">
        <v>13</v>
      </c>
      <c r="C163" t="s">
        <v>16</v>
      </c>
      <c r="D163" t="s">
        <v>34</v>
      </c>
      <c r="E163" t="s">
        <v>15</v>
      </c>
      <c r="G163">
        <v>2964</v>
      </c>
      <c r="H163">
        <v>0</v>
      </c>
      <c r="I163">
        <v>84</v>
      </c>
      <c r="J163">
        <v>360</v>
      </c>
      <c r="K163">
        <v>0</v>
      </c>
      <c r="L163" t="s">
        <v>26</v>
      </c>
      <c r="M163" t="str">
        <f t="shared" si="6"/>
        <v>Rejected</v>
      </c>
      <c r="N163">
        <f t="shared" si="7"/>
        <v>2964</v>
      </c>
      <c r="O163">
        <f t="shared" si="8"/>
        <v>0</v>
      </c>
    </row>
    <row r="164" spans="1:15" x14ac:dyDescent="0.25">
      <c r="A164" t="s">
        <v>184</v>
      </c>
      <c r="B164" t="s">
        <v>13</v>
      </c>
      <c r="C164" t="s">
        <v>16</v>
      </c>
      <c r="D164" t="s">
        <v>391</v>
      </c>
      <c r="E164" t="s">
        <v>15</v>
      </c>
      <c r="F164" t="s">
        <v>16</v>
      </c>
      <c r="G164">
        <v>5583</v>
      </c>
      <c r="H164">
        <v>0</v>
      </c>
      <c r="I164">
        <v>116</v>
      </c>
      <c r="J164">
        <v>360</v>
      </c>
      <c r="K164">
        <v>1</v>
      </c>
      <c r="L164" t="s">
        <v>17</v>
      </c>
      <c r="M164" t="str">
        <f t="shared" si="6"/>
        <v>Approved</v>
      </c>
      <c r="N164">
        <f t="shared" si="7"/>
        <v>5583</v>
      </c>
      <c r="O164">
        <f t="shared" si="8"/>
        <v>1</v>
      </c>
    </row>
    <row r="165" spans="1:15" x14ac:dyDescent="0.25">
      <c r="A165" t="s">
        <v>185</v>
      </c>
      <c r="B165" t="s">
        <v>25</v>
      </c>
      <c r="C165" t="s">
        <v>16</v>
      </c>
      <c r="D165" t="s">
        <v>389</v>
      </c>
      <c r="E165" t="s">
        <v>15</v>
      </c>
      <c r="F165" t="s">
        <v>16</v>
      </c>
      <c r="G165">
        <v>2708</v>
      </c>
      <c r="H165">
        <v>0</v>
      </c>
      <c r="I165">
        <v>65</v>
      </c>
      <c r="J165">
        <v>360</v>
      </c>
      <c r="K165">
        <v>1</v>
      </c>
      <c r="L165" t="s">
        <v>28</v>
      </c>
      <c r="M165" t="str">
        <f t="shared" si="6"/>
        <v>Rejected</v>
      </c>
      <c r="N165">
        <f t="shared" si="7"/>
        <v>2708</v>
      </c>
      <c r="O165">
        <f t="shared" si="8"/>
        <v>0</v>
      </c>
    </row>
    <row r="166" spans="1:15" x14ac:dyDescent="0.25">
      <c r="A166" t="s">
        <v>186</v>
      </c>
      <c r="B166" t="s">
        <v>13</v>
      </c>
      <c r="C166" t="s">
        <v>16</v>
      </c>
      <c r="D166" t="s">
        <v>391</v>
      </c>
      <c r="E166" t="s">
        <v>15</v>
      </c>
      <c r="F166" t="s">
        <v>16</v>
      </c>
      <c r="G166">
        <v>3180</v>
      </c>
      <c r="H166">
        <v>2370</v>
      </c>
      <c r="I166">
        <v>80</v>
      </c>
      <c r="J166">
        <v>240</v>
      </c>
      <c r="L166" t="s">
        <v>28</v>
      </c>
      <c r="M166" t="str">
        <f t="shared" si="6"/>
        <v>Rejected</v>
      </c>
      <c r="N166">
        <f t="shared" si="7"/>
        <v>5550</v>
      </c>
      <c r="O166">
        <f t="shared" si="8"/>
        <v>0</v>
      </c>
    </row>
    <row r="167" spans="1:15" x14ac:dyDescent="0.25">
      <c r="A167" t="s">
        <v>187</v>
      </c>
      <c r="B167" t="s">
        <v>13</v>
      </c>
      <c r="C167" t="s">
        <v>16</v>
      </c>
      <c r="D167" t="s">
        <v>390</v>
      </c>
      <c r="E167" t="s">
        <v>22</v>
      </c>
      <c r="F167" t="s">
        <v>16</v>
      </c>
      <c r="G167">
        <v>2268</v>
      </c>
      <c r="H167">
        <v>0</v>
      </c>
      <c r="I167">
        <v>170</v>
      </c>
      <c r="J167">
        <v>360</v>
      </c>
      <c r="K167">
        <v>0</v>
      </c>
      <c r="L167" t="s">
        <v>26</v>
      </c>
      <c r="M167" t="str">
        <f t="shared" si="6"/>
        <v>Rejected</v>
      </c>
      <c r="N167">
        <f t="shared" si="7"/>
        <v>2268</v>
      </c>
      <c r="O167">
        <f t="shared" si="8"/>
        <v>0</v>
      </c>
    </row>
    <row r="168" spans="1:15" x14ac:dyDescent="0.25">
      <c r="A168" t="s">
        <v>188</v>
      </c>
      <c r="B168" t="s">
        <v>13</v>
      </c>
      <c r="C168" t="s">
        <v>16</v>
      </c>
      <c r="D168" t="s">
        <v>34</v>
      </c>
      <c r="E168" t="s">
        <v>22</v>
      </c>
      <c r="F168" t="s">
        <v>16</v>
      </c>
      <c r="G168">
        <v>1141</v>
      </c>
      <c r="H168">
        <v>2017</v>
      </c>
      <c r="I168">
        <v>120</v>
      </c>
      <c r="J168">
        <v>360</v>
      </c>
      <c r="K168">
        <v>0</v>
      </c>
      <c r="L168" t="s">
        <v>17</v>
      </c>
      <c r="M168" t="str">
        <f t="shared" si="6"/>
        <v>Rejected</v>
      </c>
      <c r="N168">
        <f t="shared" si="7"/>
        <v>3158</v>
      </c>
      <c r="O168">
        <f t="shared" si="8"/>
        <v>0</v>
      </c>
    </row>
    <row r="169" spans="1:15" x14ac:dyDescent="0.25">
      <c r="A169" t="s">
        <v>189</v>
      </c>
      <c r="B169" t="s">
        <v>13</v>
      </c>
      <c r="C169" t="s">
        <v>14</v>
      </c>
      <c r="D169" t="s">
        <v>389</v>
      </c>
      <c r="E169" t="s">
        <v>15</v>
      </c>
      <c r="F169" t="s">
        <v>16</v>
      </c>
      <c r="G169">
        <v>3042</v>
      </c>
      <c r="H169">
        <v>3167</v>
      </c>
      <c r="I169">
        <v>135</v>
      </c>
      <c r="J169">
        <v>360</v>
      </c>
      <c r="K169">
        <v>1</v>
      </c>
      <c r="L169" t="s">
        <v>17</v>
      </c>
      <c r="M169" t="str">
        <f t="shared" si="6"/>
        <v>Approved</v>
      </c>
      <c r="N169">
        <f t="shared" si="7"/>
        <v>6209</v>
      </c>
      <c r="O169">
        <f t="shared" si="8"/>
        <v>1</v>
      </c>
    </row>
    <row r="170" spans="1:15" x14ac:dyDescent="0.25">
      <c r="A170" t="s">
        <v>190</v>
      </c>
      <c r="B170" t="s">
        <v>25</v>
      </c>
      <c r="C170" t="s">
        <v>14</v>
      </c>
      <c r="D170" t="s">
        <v>391</v>
      </c>
      <c r="E170" t="s">
        <v>15</v>
      </c>
      <c r="G170">
        <v>1750</v>
      </c>
      <c r="H170">
        <v>2935</v>
      </c>
      <c r="I170">
        <v>94</v>
      </c>
      <c r="J170">
        <v>360</v>
      </c>
      <c r="K170">
        <v>0</v>
      </c>
      <c r="L170" t="s">
        <v>26</v>
      </c>
      <c r="M170" t="str">
        <f t="shared" si="6"/>
        <v>Rejected</v>
      </c>
      <c r="N170">
        <f t="shared" si="7"/>
        <v>4685</v>
      </c>
      <c r="O170">
        <f t="shared" si="8"/>
        <v>0</v>
      </c>
    </row>
    <row r="171" spans="1:15" x14ac:dyDescent="0.25">
      <c r="A171" t="s">
        <v>191</v>
      </c>
      <c r="B171" t="s">
        <v>25</v>
      </c>
      <c r="C171" t="s">
        <v>14</v>
      </c>
      <c r="D171" t="s">
        <v>391</v>
      </c>
      <c r="E171" t="s">
        <v>15</v>
      </c>
      <c r="F171" t="s">
        <v>16</v>
      </c>
      <c r="G171">
        <v>3564</v>
      </c>
      <c r="H171">
        <v>0</v>
      </c>
      <c r="I171">
        <v>79</v>
      </c>
      <c r="J171">
        <v>360</v>
      </c>
      <c r="K171">
        <v>1</v>
      </c>
      <c r="L171" t="s">
        <v>28</v>
      </c>
      <c r="M171" t="str">
        <f t="shared" si="6"/>
        <v>Approved</v>
      </c>
      <c r="N171">
        <f t="shared" si="7"/>
        <v>3564</v>
      </c>
      <c r="O171">
        <f t="shared" si="8"/>
        <v>1</v>
      </c>
    </row>
    <row r="172" spans="1:15" x14ac:dyDescent="0.25">
      <c r="A172" t="s">
        <v>192</v>
      </c>
      <c r="B172" t="s">
        <v>25</v>
      </c>
      <c r="C172" t="s">
        <v>16</v>
      </c>
      <c r="D172" t="s">
        <v>389</v>
      </c>
      <c r="E172" t="s">
        <v>15</v>
      </c>
      <c r="F172" t="s">
        <v>16</v>
      </c>
      <c r="G172">
        <v>3958</v>
      </c>
      <c r="H172">
        <v>0</v>
      </c>
      <c r="I172">
        <v>110</v>
      </c>
      <c r="J172">
        <v>360</v>
      </c>
      <c r="K172">
        <v>1</v>
      </c>
      <c r="L172" t="s">
        <v>28</v>
      </c>
      <c r="M172" t="str">
        <f t="shared" si="6"/>
        <v>Approved</v>
      </c>
      <c r="N172">
        <f t="shared" si="7"/>
        <v>3958</v>
      </c>
      <c r="O172">
        <f t="shared" si="8"/>
        <v>1</v>
      </c>
    </row>
    <row r="173" spans="1:15" x14ac:dyDescent="0.25">
      <c r="A173" t="s">
        <v>193</v>
      </c>
      <c r="B173" t="s">
        <v>13</v>
      </c>
      <c r="C173" t="s">
        <v>14</v>
      </c>
      <c r="D173" t="s">
        <v>391</v>
      </c>
      <c r="E173" t="s">
        <v>22</v>
      </c>
      <c r="F173" t="s">
        <v>16</v>
      </c>
      <c r="G173">
        <v>4483</v>
      </c>
      <c r="H173">
        <v>0</v>
      </c>
      <c r="I173">
        <v>130</v>
      </c>
      <c r="J173">
        <v>360</v>
      </c>
      <c r="K173">
        <v>1</v>
      </c>
      <c r="L173" t="s">
        <v>28</v>
      </c>
      <c r="M173" t="str">
        <f t="shared" si="6"/>
        <v>Approved</v>
      </c>
      <c r="N173">
        <f t="shared" si="7"/>
        <v>4483</v>
      </c>
      <c r="O173">
        <f t="shared" si="8"/>
        <v>1</v>
      </c>
    </row>
    <row r="174" spans="1:15" x14ac:dyDescent="0.25">
      <c r="A174" t="s">
        <v>194</v>
      </c>
      <c r="B174" t="s">
        <v>13</v>
      </c>
      <c r="C174" t="s">
        <v>14</v>
      </c>
      <c r="D174" t="s">
        <v>390</v>
      </c>
      <c r="E174" t="s">
        <v>15</v>
      </c>
      <c r="F174" t="s">
        <v>16</v>
      </c>
      <c r="G174">
        <v>5225</v>
      </c>
      <c r="H174">
        <v>0</v>
      </c>
      <c r="I174">
        <v>143</v>
      </c>
      <c r="J174">
        <v>360</v>
      </c>
      <c r="K174">
        <v>1</v>
      </c>
      <c r="L174" t="s">
        <v>28</v>
      </c>
      <c r="M174" t="str">
        <f t="shared" si="6"/>
        <v>Approved</v>
      </c>
      <c r="N174">
        <f t="shared" si="7"/>
        <v>5225</v>
      </c>
      <c r="O174">
        <f t="shared" si="8"/>
        <v>1</v>
      </c>
    </row>
    <row r="175" spans="1:15" x14ac:dyDescent="0.25">
      <c r="A175" t="s">
        <v>195</v>
      </c>
      <c r="B175" t="s">
        <v>13</v>
      </c>
      <c r="C175" t="s">
        <v>16</v>
      </c>
      <c r="D175" t="s">
        <v>389</v>
      </c>
      <c r="E175" t="s">
        <v>15</v>
      </c>
      <c r="F175" t="s">
        <v>16</v>
      </c>
      <c r="G175">
        <v>3017</v>
      </c>
      <c r="H175">
        <v>2845</v>
      </c>
      <c r="I175">
        <v>159</v>
      </c>
      <c r="J175">
        <v>180</v>
      </c>
      <c r="K175">
        <v>0</v>
      </c>
      <c r="L175" t="s">
        <v>17</v>
      </c>
      <c r="M175" t="str">
        <f t="shared" si="6"/>
        <v>Rejected</v>
      </c>
      <c r="N175">
        <f t="shared" si="7"/>
        <v>5862</v>
      </c>
      <c r="O175">
        <f t="shared" si="8"/>
        <v>0</v>
      </c>
    </row>
    <row r="176" spans="1:15" x14ac:dyDescent="0.25">
      <c r="A176" t="s">
        <v>196</v>
      </c>
      <c r="B176" t="s">
        <v>13</v>
      </c>
      <c r="C176" t="s">
        <v>14</v>
      </c>
      <c r="D176" t="s">
        <v>391</v>
      </c>
      <c r="E176" t="s">
        <v>22</v>
      </c>
      <c r="F176" t="s">
        <v>16</v>
      </c>
      <c r="G176">
        <v>2431</v>
      </c>
      <c r="H176">
        <v>1820</v>
      </c>
      <c r="I176">
        <v>110</v>
      </c>
      <c r="J176">
        <v>360</v>
      </c>
      <c r="K176">
        <v>0</v>
      </c>
      <c r="L176" t="s">
        <v>28</v>
      </c>
      <c r="M176" t="str">
        <f t="shared" si="6"/>
        <v>Rejected</v>
      </c>
      <c r="N176">
        <f t="shared" si="7"/>
        <v>4251</v>
      </c>
      <c r="O176">
        <f t="shared" si="8"/>
        <v>0</v>
      </c>
    </row>
    <row r="177" spans="1:15" x14ac:dyDescent="0.25">
      <c r="A177" t="s">
        <v>197</v>
      </c>
      <c r="B177" t="s">
        <v>13</v>
      </c>
      <c r="C177" t="s">
        <v>14</v>
      </c>
      <c r="D177" t="s">
        <v>34</v>
      </c>
      <c r="E177" t="s">
        <v>15</v>
      </c>
      <c r="G177">
        <v>4912</v>
      </c>
      <c r="H177">
        <v>4614</v>
      </c>
      <c r="I177">
        <v>160</v>
      </c>
      <c r="J177">
        <v>360</v>
      </c>
      <c r="K177">
        <v>1</v>
      </c>
      <c r="L177" t="s">
        <v>28</v>
      </c>
      <c r="M177" t="str">
        <f t="shared" si="6"/>
        <v>Approved</v>
      </c>
      <c r="N177">
        <f t="shared" si="7"/>
        <v>9526</v>
      </c>
      <c r="O177">
        <f t="shared" si="8"/>
        <v>1</v>
      </c>
    </row>
    <row r="178" spans="1:15" x14ac:dyDescent="0.25">
      <c r="A178" t="s">
        <v>198</v>
      </c>
      <c r="B178" t="s">
        <v>13</v>
      </c>
      <c r="C178" t="s">
        <v>14</v>
      </c>
      <c r="D178" t="s">
        <v>390</v>
      </c>
      <c r="E178" t="s">
        <v>22</v>
      </c>
      <c r="F178" t="s">
        <v>16</v>
      </c>
      <c r="G178">
        <v>2500</v>
      </c>
      <c r="H178">
        <v>3333</v>
      </c>
      <c r="I178">
        <v>131</v>
      </c>
      <c r="J178">
        <v>360</v>
      </c>
      <c r="K178">
        <v>1</v>
      </c>
      <c r="L178" t="s">
        <v>17</v>
      </c>
      <c r="M178" t="str">
        <f t="shared" si="6"/>
        <v>Rejected</v>
      </c>
      <c r="N178">
        <f t="shared" si="7"/>
        <v>5833</v>
      </c>
      <c r="O178">
        <f t="shared" si="8"/>
        <v>0</v>
      </c>
    </row>
    <row r="179" spans="1:15" x14ac:dyDescent="0.25">
      <c r="A179" t="s">
        <v>199</v>
      </c>
      <c r="B179" t="s">
        <v>25</v>
      </c>
      <c r="C179" t="s">
        <v>16</v>
      </c>
      <c r="D179" t="s">
        <v>389</v>
      </c>
      <c r="E179" t="s">
        <v>15</v>
      </c>
      <c r="F179" t="s">
        <v>16</v>
      </c>
      <c r="G179">
        <v>2918</v>
      </c>
      <c r="H179">
        <v>0</v>
      </c>
      <c r="I179">
        <v>65</v>
      </c>
      <c r="J179">
        <v>360</v>
      </c>
      <c r="L179" t="s">
        <v>28</v>
      </c>
      <c r="M179" t="str">
        <f t="shared" si="6"/>
        <v>Rejected</v>
      </c>
      <c r="N179">
        <f t="shared" si="7"/>
        <v>2918</v>
      </c>
      <c r="O179">
        <f t="shared" si="8"/>
        <v>0</v>
      </c>
    </row>
    <row r="180" spans="1:15" x14ac:dyDescent="0.25">
      <c r="A180" t="s">
        <v>200</v>
      </c>
      <c r="B180" t="s">
        <v>13</v>
      </c>
      <c r="C180" t="s">
        <v>14</v>
      </c>
      <c r="D180" t="s">
        <v>390</v>
      </c>
      <c r="E180" t="s">
        <v>15</v>
      </c>
      <c r="F180" t="s">
        <v>16</v>
      </c>
      <c r="G180">
        <v>5128</v>
      </c>
      <c r="H180">
        <v>0</v>
      </c>
      <c r="I180">
        <v>143</v>
      </c>
      <c r="J180">
        <v>360</v>
      </c>
      <c r="K180">
        <v>1</v>
      </c>
      <c r="L180" t="s">
        <v>28</v>
      </c>
      <c r="M180" t="str">
        <f t="shared" si="6"/>
        <v>Approved</v>
      </c>
      <c r="N180">
        <f t="shared" si="7"/>
        <v>5128</v>
      </c>
      <c r="O180">
        <f t="shared" si="8"/>
        <v>1</v>
      </c>
    </row>
    <row r="181" spans="1:15" x14ac:dyDescent="0.25">
      <c r="A181" t="s">
        <v>201</v>
      </c>
      <c r="B181" t="s">
        <v>13</v>
      </c>
      <c r="C181" t="s">
        <v>14</v>
      </c>
      <c r="D181" t="s">
        <v>389</v>
      </c>
      <c r="E181" t="s">
        <v>15</v>
      </c>
      <c r="F181" t="s">
        <v>16</v>
      </c>
      <c r="G181">
        <v>15312</v>
      </c>
      <c r="H181">
        <v>0</v>
      </c>
      <c r="I181">
        <v>187</v>
      </c>
      <c r="J181">
        <v>360</v>
      </c>
      <c r="L181" t="s">
        <v>17</v>
      </c>
      <c r="M181" t="str">
        <f t="shared" si="6"/>
        <v>Rejected</v>
      </c>
      <c r="N181">
        <f t="shared" si="7"/>
        <v>15312</v>
      </c>
      <c r="O181">
        <f t="shared" si="8"/>
        <v>0</v>
      </c>
    </row>
    <row r="182" spans="1:15" x14ac:dyDescent="0.25">
      <c r="A182" t="s">
        <v>202</v>
      </c>
      <c r="B182" t="s">
        <v>13</v>
      </c>
      <c r="C182" t="s">
        <v>14</v>
      </c>
      <c r="D182" t="s">
        <v>391</v>
      </c>
      <c r="E182" t="s">
        <v>15</v>
      </c>
      <c r="F182" t="s">
        <v>16</v>
      </c>
      <c r="G182">
        <v>3958</v>
      </c>
      <c r="H182">
        <v>2632</v>
      </c>
      <c r="I182">
        <v>160</v>
      </c>
      <c r="J182">
        <v>360</v>
      </c>
      <c r="K182">
        <v>1</v>
      </c>
      <c r="L182" t="s">
        <v>26</v>
      </c>
      <c r="M182" t="str">
        <f t="shared" si="6"/>
        <v>Approved</v>
      </c>
      <c r="N182">
        <f t="shared" si="7"/>
        <v>6590</v>
      </c>
      <c r="O182">
        <f t="shared" si="8"/>
        <v>1</v>
      </c>
    </row>
    <row r="183" spans="1:15" x14ac:dyDescent="0.25">
      <c r="A183" t="s">
        <v>203</v>
      </c>
      <c r="B183" t="s">
        <v>13</v>
      </c>
      <c r="C183" t="s">
        <v>14</v>
      </c>
      <c r="D183" t="s">
        <v>389</v>
      </c>
      <c r="E183" t="s">
        <v>15</v>
      </c>
      <c r="F183" t="s">
        <v>16</v>
      </c>
      <c r="G183">
        <v>4334</v>
      </c>
      <c r="H183">
        <v>2945</v>
      </c>
      <c r="I183">
        <v>165</v>
      </c>
      <c r="J183">
        <v>360</v>
      </c>
      <c r="K183">
        <v>1</v>
      </c>
      <c r="L183" t="s">
        <v>26</v>
      </c>
      <c r="M183" t="str">
        <f t="shared" si="6"/>
        <v>Approved</v>
      </c>
      <c r="N183">
        <f t="shared" si="7"/>
        <v>7279</v>
      </c>
      <c r="O183">
        <f t="shared" si="8"/>
        <v>1</v>
      </c>
    </row>
    <row r="184" spans="1:15" x14ac:dyDescent="0.25">
      <c r="A184" t="s">
        <v>204</v>
      </c>
      <c r="B184" t="s">
        <v>13</v>
      </c>
      <c r="C184" t="s">
        <v>14</v>
      </c>
      <c r="D184" t="s">
        <v>389</v>
      </c>
      <c r="E184" t="s">
        <v>15</v>
      </c>
      <c r="F184" t="s">
        <v>16</v>
      </c>
      <c r="G184">
        <v>4358</v>
      </c>
      <c r="H184">
        <v>0</v>
      </c>
      <c r="I184">
        <v>110</v>
      </c>
      <c r="J184">
        <v>360</v>
      </c>
      <c r="K184">
        <v>1</v>
      </c>
      <c r="L184" t="s">
        <v>17</v>
      </c>
      <c r="M184" t="str">
        <f t="shared" si="6"/>
        <v>Approved</v>
      </c>
      <c r="N184">
        <f t="shared" si="7"/>
        <v>4358</v>
      </c>
      <c r="O184">
        <f t="shared" si="8"/>
        <v>1</v>
      </c>
    </row>
    <row r="185" spans="1:15" x14ac:dyDescent="0.25">
      <c r="A185" t="s">
        <v>205</v>
      </c>
      <c r="B185" t="s">
        <v>25</v>
      </c>
      <c r="C185" t="s">
        <v>14</v>
      </c>
      <c r="D185" t="s">
        <v>34</v>
      </c>
      <c r="E185" t="s">
        <v>15</v>
      </c>
      <c r="F185" t="s">
        <v>16</v>
      </c>
      <c r="G185">
        <v>4000</v>
      </c>
      <c r="H185">
        <v>3917</v>
      </c>
      <c r="I185">
        <v>173</v>
      </c>
      <c r="J185">
        <v>360</v>
      </c>
      <c r="K185">
        <v>1</v>
      </c>
      <c r="L185" t="s">
        <v>28</v>
      </c>
      <c r="M185" t="str">
        <f t="shared" si="6"/>
        <v>Approved</v>
      </c>
      <c r="N185">
        <f t="shared" si="7"/>
        <v>7917</v>
      </c>
      <c r="O185">
        <f t="shared" si="8"/>
        <v>1</v>
      </c>
    </row>
    <row r="186" spans="1:15" x14ac:dyDescent="0.25">
      <c r="A186" t="s">
        <v>206</v>
      </c>
      <c r="B186" t="s">
        <v>13</v>
      </c>
      <c r="C186" t="s">
        <v>14</v>
      </c>
      <c r="D186" t="s">
        <v>392</v>
      </c>
      <c r="E186" t="s">
        <v>15</v>
      </c>
      <c r="F186" t="s">
        <v>16</v>
      </c>
      <c r="G186">
        <v>10166</v>
      </c>
      <c r="H186">
        <v>750</v>
      </c>
      <c r="I186">
        <v>150</v>
      </c>
      <c r="K186">
        <v>1</v>
      </c>
      <c r="L186" t="s">
        <v>17</v>
      </c>
      <c r="M186" t="str">
        <f t="shared" si="6"/>
        <v>Approved</v>
      </c>
      <c r="N186">
        <f t="shared" si="7"/>
        <v>10916</v>
      </c>
      <c r="O186">
        <f t="shared" si="8"/>
        <v>1</v>
      </c>
    </row>
    <row r="187" spans="1:15" x14ac:dyDescent="0.25">
      <c r="A187" t="s">
        <v>207</v>
      </c>
      <c r="B187" t="s">
        <v>13</v>
      </c>
      <c r="C187" t="s">
        <v>14</v>
      </c>
      <c r="D187" t="s">
        <v>389</v>
      </c>
      <c r="E187" t="s">
        <v>22</v>
      </c>
      <c r="F187" t="s">
        <v>16</v>
      </c>
      <c r="G187">
        <v>4483</v>
      </c>
      <c r="H187">
        <v>0</v>
      </c>
      <c r="I187">
        <v>135</v>
      </c>
      <c r="J187">
        <v>360</v>
      </c>
      <c r="L187" t="s">
        <v>26</v>
      </c>
      <c r="M187" t="str">
        <f t="shared" si="6"/>
        <v>Rejected</v>
      </c>
      <c r="N187">
        <f t="shared" si="7"/>
        <v>4483</v>
      </c>
      <c r="O187">
        <f t="shared" si="8"/>
        <v>0</v>
      </c>
    </row>
    <row r="188" spans="1:15" x14ac:dyDescent="0.25">
      <c r="A188" t="s">
        <v>208</v>
      </c>
      <c r="B188" t="s">
        <v>13</v>
      </c>
      <c r="C188" t="s">
        <v>14</v>
      </c>
      <c r="D188" t="s">
        <v>389</v>
      </c>
      <c r="E188" t="s">
        <v>22</v>
      </c>
      <c r="F188" t="s">
        <v>16</v>
      </c>
      <c r="G188">
        <v>4521</v>
      </c>
      <c r="H188">
        <v>1184</v>
      </c>
      <c r="I188">
        <v>150</v>
      </c>
      <c r="J188">
        <v>360</v>
      </c>
      <c r="K188">
        <v>1</v>
      </c>
      <c r="L188" t="s">
        <v>26</v>
      </c>
      <c r="M188" t="str">
        <f t="shared" si="6"/>
        <v>Approved</v>
      </c>
      <c r="N188">
        <f t="shared" si="7"/>
        <v>5705</v>
      </c>
      <c r="O188">
        <f t="shared" si="8"/>
        <v>1</v>
      </c>
    </row>
    <row r="189" spans="1:15" x14ac:dyDescent="0.25">
      <c r="A189" t="s">
        <v>209</v>
      </c>
      <c r="B189" t="s">
        <v>13</v>
      </c>
      <c r="C189" t="s">
        <v>14</v>
      </c>
      <c r="D189" t="s">
        <v>389</v>
      </c>
      <c r="E189" t="s">
        <v>15</v>
      </c>
      <c r="F189" t="s">
        <v>16</v>
      </c>
      <c r="G189">
        <v>9167</v>
      </c>
      <c r="H189">
        <v>0</v>
      </c>
      <c r="I189">
        <v>235</v>
      </c>
      <c r="J189">
        <v>360</v>
      </c>
      <c r="K189">
        <v>1</v>
      </c>
      <c r="L189" t="s">
        <v>26</v>
      </c>
      <c r="M189" t="str">
        <f t="shared" si="6"/>
        <v>Rejected</v>
      </c>
      <c r="N189">
        <f t="shared" si="7"/>
        <v>9167</v>
      </c>
      <c r="O189">
        <f t="shared" si="8"/>
        <v>0</v>
      </c>
    </row>
    <row r="190" spans="1:15" x14ac:dyDescent="0.25">
      <c r="A190" t="s">
        <v>210</v>
      </c>
      <c r="B190" t="s">
        <v>13</v>
      </c>
      <c r="C190" t="s">
        <v>14</v>
      </c>
      <c r="D190" t="s">
        <v>390</v>
      </c>
      <c r="E190" t="s">
        <v>22</v>
      </c>
      <c r="F190" t="s">
        <v>16</v>
      </c>
      <c r="G190">
        <v>13083</v>
      </c>
      <c r="H190">
        <v>0</v>
      </c>
      <c r="J190">
        <v>360</v>
      </c>
      <c r="K190">
        <v>1</v>
      </c>
      <c r="L190" t="s">
        <v>28</v>
      </c>
      <c r="M190" t="str">
        <f t="shared" si="6"/>
        <v>Approved</v>
      </c>
      <c r="N190">
        <f t="shared" si="7"/>
        <v>13083</v>
      </c>
      <c r="O190">
        <f t="shared" si="8"/>
        <v>1</v>
      </c>
    </row>
    <row r="191" spans="1:15" x14ac:dyDescent="0.25">
      <c r="A191" t="s">
        <v>211</v>
      </c>
      <c r="B191" t="s">
        <v>13</v>
      </c>
      <c r="C191" t="s">
        <v>14</v>
      </c>
      <c r="D191" t="s">
        <v>390</v>
      </c>
      <c r="E191" t="s">
        <v>15</v>
      </c>
      <c r="F191" t="s">
        <v>16</v>
      </c>
      <c r="G191">
        <v>7874</v>
      </c>
      <c r="H191">
        <v>3967</v>
      </c>
      <c r="I191">
        <v>336</v>
      </c>
      <c r="J191">
        <v>360</v>
      </c>
      <c r="K191">
        <v>1</v>
      </c>
      <c r="L191" t="s">
        <v>28</v>
      </c>
      <c r="M191" t="str">
        <f t="shared" si="6"/>
        <v>Rejected</v>
      </c>
      <c r="N191">
        <f t="shared" si="7"/>
        <v>11841</v>
      </c>
      <c r="O191">
        <f t="shared" si="8"/>
        <v>0</v>
      </c>
    </row>
    <row r="192" spans="1:15" x14ac:dyDescent="0.25">
      <c r="A192" t="s">
        <v>212</v>
      </c>
      <c r="B192" t="s">
        <v>25</v>
      </c>
      <c r="C192" t="s">
        <v>14</v>
      </c>
      <c r="D192" t="s">
        <v>389</v>
      </c>
      <c r="E192" t="s">
        <v>15</v>
      </c>
      <c r="F192" t="s">
        <v>16</v>
      </c>
      <c r="G192">
        <v>4333</v>
      </c>
      <c r="H192">
        <v>0</v>
      </c>
      <c r="I192">
        <v>132</v>
      </c>
      <c r="J192">
        <v>84</v>
      </c>
      <c r="K192">
        <v>1</v>
      </c>
      <c r="L192" t="s">
        <v>28</v>
      </c>
      <c r="M192" t="str">
        <f t="shared" si="6"/>
        <v>Approved</v>
      </c>
      <c r="N192">
        <f t="shared" si="7"/>
        <v>4333</v>
      </c>
      <c r="O192">
        <f t="shared" si="8"/>
        <v>1</v>
      </c>
    </row>
    <row r="193" spans="1:15" x14ac:dyDescent="0.25">
      <c r="A193" t="s">
        <v>213</v>
      </c>
      <c r="B193" t="s">
        <v>13</v>
      </c>
      <c r="C193" t="s">
        <v>16</v>
      </c>
      <c r="D193" t="s">
        <v>390</v>
      </c>
      <c r="E193" t="s">
        <v>15</v>
      </c>
      <c r="F193" t="s">
        <v>16</v>
      </c>
      <c r="G193">
        <v>4083</v>
      </c>
      <c r="H193">
        <v>0</v>
      </c>
      <c r="I193">
        <v>96</v>
      </c>
      <c r="J193">
        <v>360</v>
      </c>
      <c r="K193">
        <v>1</v>
      </c>
      <c r="L193" t="s">
        <v>17</v>
      </c>
      <c r="M193" t="str">
        <f t="shared" si="6"/>
        <v>Approved</v>
      </c>
      <c r="N193">
        <f t="shared" si="7"/>
        <v>4083</v>
      </c>
      <c r="O193">
        <f t="shared" si="8"/>
        <v>1</v>
      </c>
    </row>
    <row r="194" spans="1:15" x14ac:dyDescent="0.25">
      <c r="A194" t="s">
        <v>214</v>
      </c>
      <c r="B194" t="s">
        <v>13</v>
      </c>
      <c r="C194" t="s">
        <v>14</v>
      </c>
      <c r="D194" t="s">
        <v>389</v>
      </c>
      <c r="E194" t="s">
        <v>22</v>
      </c>
      <c r="G194">
        <v>3785</v>
      </c>
      <c r="H194">
        <v>2912</v>
      </c>
      <c r="I194">
        <v>180</v>
      </c>
      <c r="J194">
        <v>360</v>
      </c>
      <c r="K194">
        <v>0</v>
      </c>
      <c r="L194" t="s">
        <v>28</v>
      </c>
      <c r="M194" t="str">
        <f t="shared" si="6"/>
        <v>Rejected</v>
      </c>
      <c r="N194">
        <f t="shared" si="7"/>
        <v>6697</v>
      </c>
      <c r="O194">
        <f t="shared" si="8"/>
        <v>0</v>
      </c>
    </row>
    <row r="195" spans="1:15" x14ac:dyDescent="0.25">
      <c r="A195" t="s">
        <v>215</v>
      </c>
      <c r="B195" t="s">
        <v>13</v>
      </c>
      <c r="C195" t="s">
        <v>14</v>
      </c>
      <c r="D195" t="s">
        <v>389</v>
      </c>
      <c r="E195" t="s">
        <v>22</v>
      </c>
      <c r="F195" t="s">
        <v>16</v>
      </c>
      <c r="G195">
        <v>2654</v>
      </c>
      <c r="H195">
        <v>1998</v>
      </c>
      <c r="I195">
        <v>128</v>
      </c>
      <c r="J195">
        <v>360</v>
      </c>
      <c r="K195">
        <v>0</v>
      </c>
      <c r="L195" t="s">
        <v>28</v>
      </c>
      <c r="M195" t="str">
        <f t="shared" ref="M195:M258" si="9">IF(AND(K195=1,G195&gt;3000,I195&lt;200),"Approved","Rejected")</f>
        <v>Rejected</v>
      </c>
      <c r="N195">
        <f t="shared" ref="N195:N258" si="10">G195+H195</f>
        <v>4652</v>
      </c>
      <c r="O195">
        <f t="shared" ref="O195:O258" si="11">IF(M195="Approved",1,0)</f>
        <v>0</v>
      </c>
    </row>
    <row r="196" spans="1:15" x14ac:dyDescent="0.25">
      <c r="A196" t="s">
        <v>216</v>
      </c>
      <c r="B196" t="s">
        <v>13</v>
      </c>
      <c r="C196" t="s">
        <v>14</v>
      </c>
      <c r="D196" t="s">
        <v>34</v>
      </c>
      <c r="E196" t="s">
        <v>15</v>
      </c>
      <c r="F196" t="s">
        <v>16</v>
      </c>
      <c r="G196">
        <v>10000</v>
      </c>
      <c r="H196">
        <v>2690</v>
      </c>
      <c r="I196">
        <v>412</v>
      </c>
      <c r="J196">
        <v>360</v>
      </c>
      <c r="K196">
        <v>1</v>
      </c>
      <c r="L196" t="s">
        <v>26</v>
      </c>
      <c r="M196" t="str">
        <f t="shared" si="9"/>
        <v>Rejected</v>
      </c>
      <c r="N196">
        <f t="shared" si="10"/>
        <v>12690</v>
      </c>
      <c r="O196">
        <f t="shared" si="11"/>
        <v>0</v>
      </c>
    </row>
    <row r="197" spans="1:15" x14ac:dyDescent="0.25">
      <c r="A197" t="s">
        <v>217</v>
      </c>
      <c r="B197" t="s">
        <v>13</v>
      </c>
      <c r="C197" t="s">
        <v>16</v>
      </c>
      <c r="D197" t="s">
        <v>389</v>
      </c>
      <c r="E197" t="s">
        <v>15</v>
      </c>
      <c r="F197" t="s">
        <v>14</v>
      </c>
      <c r="G197">
        <v>5833</v>
      </c>
      <c r="H197">
        <v>0</v>
      </c>
      <c r="I197">
        <v>116</v>
      </c>
      <c r="J197">
        <v>360</v>
      </c>
      <c r="K197">
        <v>1</v>
      </c>
      <c r="L197" t="s">
        <v>17</v>
      </c>
      <c r="M197" t="str">
        <f t="shared" si="9"/>
        <v>Approved</v>
      </c>
      <c r="N197">
        <f t="shared" si="10"/>
        <v>5833</v>
      </c>
      <c r="O197">
        <f t="shared" si="11"/>
        <v>1</v>
      </c>
    </row>
    <row r="198" spans="1:15" x14ac:dyDescent="0.25">
      <c r="A198" t="s">
        <v>218</v>
      </c>
      <c r="B198" t="s">
        <v>13</v>
      </c>
      <c r="C198" t="s">
        <v>14</v>
      </c>
      <c r="D198" t="s">
        <v>389</v>
      </c>
      <c r="E198" t="s">
        <v>15</v>
      </c>
      <c r="F198" t="s">
        <v>16</v>
      </c>
      <c r="G198">
        <v>4796</v>
      </c>
      <c r="H198">
        <v>0</v>
      </c>
      <c r="I198">
        <v>114</v>
      </c>
      <c r="J198">
        <v>360</v>
      </c>
      <c r="K198">
        <v>0</v>
      </c>
      <c r="L198" t="s">
        <v>26</v>
      </c>
      <c r="M198" t="str">
        <f t="shared" si="9"/>
        <v>Rejected</v>
      </c>
      <c r="N198">
        <f t="shared" si="10"/>
        <v>4796</v>
      </c>
      <c r="O198">
        <f t="shared" si="11"/>
        <v>0</v>
      </c>
    </row>
    <row r="199" spans="1:15" x14ac:dyDescent="0.25">
      <c r="A199" t="s">
        <v>219</v>
      </c>
      <c r="B199" t="s">
        <v>13</v>
      </c>
      <c r="C199" t="s">
        <v>14</v>
      </c>
      <c r="D199" t="s">
        <v>389</v>
      </c>
      <c r="E199" t="s">
        <v>22</v>
      </c>
      <c r="F199" t="s">
        <v>16</v>
      </c>
      <c r="G199">
        <v>2000</v>
      </c>
      <c r="H199">
        <v>1600</v>
      </c>
      <c r="I199">
        <v>115</v>
      </c>
      <c r="J199">
        <v>360</v>
      </c>
      <c r="K199">
        <v>1</v>
      </c>
      <c r="L199" t="s">
        <v>28</v>
      </c>
      <c r="M199" t="str">
        <f t="shared" si="9"/>
        <v>Rejected</v>
      </c>
      <c r="N199">
        <f t="shared" si="10"/>
        <v>3600</v>
      </c>
      <c r="O199">
        <f t="shared" si="11"/>
        <v>0</v>
      </c>
    </row>
    <row r="200" spans="1:15" x14ac:dyDescent="0.25">
      <c r="A200" t="s">
        <v>220</v>
      </c>
      <c r="B200" t="s">
        <v>13</v>
      </c>
      <c r="C200" t="s">
        <v>14</v>
      </c>
      <c r="D200" t="s">
        <v>389</v>
      </c>
      <c r="E200" t="s">
        <v>15</v>
      </c>
      <c r="F200" t="s">
        <v>16</v>
      </c>
      <c r="G200">
        <v>2540</v>
      </c>
      <c r="H200">
        <v>700</v>
      </c>
      <c r="I200">
        <v>104</v>
      </c>
      <c r="J200">
        <v>360</v>
      </c>
      <c r="K200">
        <v>0</v>
      </c>
      <c r="L200" t="s">
        <v>17</v>
      </c>
      <c r="M200" t="str">
        <f t="shared" si="9"/>
        <v>Rejected</v>
      </c>
      <c r="N200">
        <f t="shared" si="10"/>
        <v>3240</v>
      </c>
      <c r="O200">
        <f t="shared" si="11"/>
        <v>0</v>
      </c>
    </row>
    <row r="201" spans="1:15" x14ac:dyDescent="0.25">
      <c r="A201" t="s">
        <v>221</v>
      </c>
      <c r="B201" t="s">
        <v>13</v>
      </c>
      <c r="C201" t="s">
        <v>14</v>
      </c>
      <c r="D201" t="s">
        <v>389</v>
      </c>
      <c r="E201" t="s">
        <v>15</v>
      </c>
      <c r="F201" t="s">
        <v>14</v>
      </c>
      <c r="G201">
        <v>1900</v>
      </c>
      <c r="H201">
        <v>1442</v>
      </c>
      <c r="I201">
        <v>88</v>
      </c>
      <c r="J201">
        <v>360</v>
      </c>
      <c r="K201">
        <v>1</v>
      </c>
      <c r="L201" t="s">
        <v>28</v>
      </c>
      <c r="M201" t="str">
        <f t="shared" si="9"/>
        <v>Rejected</v>
      </c>
      <c r="N201">
        <f t="shared" si="10"/>
        <v>3342</v>
      </c>
      <c r="O201">
        <f t="shared" si="11"/>
        <v>0</v>
      </c>
    </row>
    <row r="202" spans="1:15" x14ac:dyDescent="0.25">
      <c r="A202" t="s">
        <v>222</v>
      </c>
      <c r="B202" t="s">
        <v>13</v>
      </c>
      <c r="C202" t="s">
        <v>14</v>
      </c>
      <c r="D202" t="s">
        <v>390</v>
      </c>
      <c r="E202" t="s">
        <v>15</v>
      </c>
      <c r="F202" t="s">
        <v>14</v>
      </c>
      <c r="G202">
        <v>8706</v>
      </c>
      <c r="H202">
        <v>0</v>
      </c>
      <c r="I202">
        <v>108</v>
      </c>
      <c r="J202">
        <v>480</v>
      </c>
      <c r="K202">
        <v>1</v>
      </c>
      <c r="L202" t="s">
        <v>28</v>
      </c>
      <c r="M202" t="str">
        <f t="shared" si="9"/>
        <v>Approved</v>
      </c>
      <c r="N202">
        <f t="shared" si="10"/>
        <v>8706</v>
      </c>
      <c r="O202">
        <f t="shared" si="11"/>
        <v>1</v>
      </c>
    </row>
    <row r="203" spans="1:15" x14ac:dyDescent="0.25">
      <c r="A203" t="s">
        <v>223</v>
      </c>
      <c r="B203" t="s">
        <v>13</v>
      </c>
      <c r="C203" t="s">
        <v>14</v>
      </c>
      <c r="D203" t="s">
        <v>390</v>
      </c>
      <c r="E203" t="s">
        <v>22</v>
      </c>
      <c r="F203" t="s">
        <v>16</v>
      </c>
      <c r="G203">
        <v>2855</v>
      </c>
      <c r="H203">
        <v>542</v>
      </c>
      <c r="I203">
        <v>90</v>
      </c>
      <c r="J203">
        <v>360</v>
      </c>
      <c r="K203">
        <v>1</v>
      </c>
      <c r="L203" t="s">
        <v>17</v>
      </c>
      <c r="M203" t="str">
        <f t="shared" si="9"/>
        <v>Rejected</v>
      </c>
      <c r="N203">
        <f t="shared" si="10"/>
        <v>3397</v>
      </c>
      <c r="O203">
        <f t="shared" si="11"/>
        <v>0</v>
      </c>
    </row>
    <row r="204" spans="1:15" x14ac:dyDescent="0.25">
      <c r="A204" t="s">
        <v>224</v>
      </c>
      <c r="B204" t="s">
        <v>13</v>
      </c>
      <c r="C204" t="s">
        <v>14</v>
      </c>
      <c r="D204" t="s">
        <v>389</v>
      </c>
      <c r="E204" t="s">
        <v>15</v>
      </c>
      <c r="F204" t="s">
        <v>16</v>
      </c>
      <c r="G204">
        <v>3016</v>
      </c>
      <c r="H204">
        <v>1300</v>
      </c>
      <c r="I204">
        <v>100</v>
      </c>
      <c r="J204">
        <v>360</v>
      </c>
      <c r="L204" t="s">
        <v>17</v>
      </c>
      <c r="M204" t="str">
        <f t="shared" si="9"/>
        <v>Rejected</v>
      </c>
      <c r="N204">
        <f t="shared" si="10"/>
        <v>4316</v>
      </c>
      <c r="O204">
        <f t="shared" si="11"/>
        <v>0</v>
      </c>
    </row>
    <row r="205" spans="1:15" x14ac:dyDescent="0.25">
      <c r="A205" t="s">
        <v>225</v>
      </c>
      <c r="B205" t="s">
        <v>25</v>
      </c>
      <c r="C205" t="s">
        <v>14</v>
      </c>
      <c r="D205" t="s">
        <v>389</v>
      </c>
      <c r="E205" t="s">
        <v>15</v>
      </c>
      <c r="F205" t="s">
        <v>16</v>
      </c>
      <c r="G205">
        <v>3159</v>
      </c>
      <c r="H205">
        <v>2374</v>
      </c>
      <c r="I205">
        <v>108</v>
      </c>
      <c r="J205">
        <v>360</v>
      </c>
      <c r="K205">
        <v>1</v>
      </c>
      <c r="L205" t="s">
        <v>26</v>
      </c>
      <c r="M205" t="str">
        <f t="shared" si="9"/>
        <v>Approved</v>
      </c>
      <c r="N205">
        <f t="shared" si="10"/>
        <v>5533</v>
      </c>
      <c r="O205">
        <f t="shared" si="11"/>
        <v>1</v>
      </c>
    </row>
    <row r="206" spans="1:15" x14ac:dyDescent="0.25">
      <c r="A206" t="s">
        <v>226</v>
      </c>
      <c r="B206" t="s">
        <v>25</v>
      </c>
      <c r="C206" t="s">
        <v>16</v>
      </c>
      <c r="D206" t="s">
        <v>391</v>
      </c>
      <c r="E206" t="s">
        <v>15</v>
      </c>
      <c r="F206" t="s">
        <v>16</v>
      </c>
      <c r="G206">
        <v>1937</v>
      </c>
      <c r="H206">
        <v>1152</v>
      </c>
      <c r="I206">
        <v>78</v>
      </c>
      <c r="J206">
        <v>360</v>
      </c>
      <c r="K206">
        <v>1</v>
      </c>
      <c r="L206" t="s">
        <v>26</v>
      </c>
      <c r="M206" t="str">
        <f t="shared" si="9"/>
        <v>Rejected</v>
      </c>
      <c r="N206">
        <f t="shared" si="10"/>
        <v>3089</v>
      </c>
      <c r="O206">
        <f t="shared" si="11"/>
        <v>0</v>
      </c>
    </row>
    <row r="207" spans="1:15" x14ac:dyDescent="0.25">
      <c r="A207" t="s">
        <v>227</v>
      </c>
      <c r="B207" t="s">
        <v>13</v>
      </c>
      <c r="C207" t="s">
        <v>14</v>
      </c>
      <c r="D207" t="s">
        <v>390</v>
      </c>
      <c r="E207" t="s">
        <v>15</v>
      </c>
      <c r="F207" t="s">
        <v>16</v>
      </c>
      <c r="G207">
        <v>2613</v>
      </c>
      <c r="H207">
        <v>2417</v>
      </c>
      <c r="I207">
        <v>123</v>
      </c>
      <c r="J207">
        <v>360</v>
      </c>
      <c r="K207">
        <v>1</v>
      </c>
      <c r="L207" t="s">
        <v>26</v>
      </c>
      <c r="M207" t="str">
        <f t="shared" si="9"/>
        <v>Rejected</v>
      </c>
      <c r="N207">
        <f t="shared" si="10"/>
        <v>5030</v>
      </c>
      <c r="O207">
        <f t="shared" si="11"/>
        <v>0</v>
      </c>
    </row>
    <row r="208" spans="1:15" x14ac:dyDescent="0.25">
      <c r="A208" t="s">
        <v>228</v>
      </c>
      <c r="B208" t="s">
        <v>13</v>
      </c>
      <c r="C208" t="s">
        <v>14</v>
      </c>
      <c r="D208" t="s">
        <v>391</v>
      </c>
      <c r="E208" t="s">
        <v>15</v>
      </c>
      <c r="F208" t="s">
        <v>16</v>
      </c>
      <c r="G208">
        <v>4960</v>
      </c>
      <c r="H208">
        <v>2600</v>
      </c>
      <c r="I208">
        <v>187</v>
      </c>
      <c r="J208">
        <v>360</v>
      </c>
      <c r="K208">
        <v>1</v>
      </c>
      <c r="L208" t="s">
        <v>26</v>
      </c>
      <c r="M208" t="str">
        <f t="shared" si="9"/>
        <v>Approved</v>
      </c>
      <c r="N208">
        <f t="shared" si="10"/>
        <v>7560</v>
      </c>
      <c r="O208">
        <f t="shared" si="11"/>
        <v>1</v>
      </c>
    </row>
    <row r="209" spans="1:15" x14ac:dyDescent="0.25">
      <c r="A209" t="s">
        <v>229</v>
      </c>
      <c r="B209" t="s">
        <v>13</v>
      </c>
      <c r="C209" t="s">
        <v>14</v>
      </c>
      <c r="D209" t="s">
        <v>389</v>
      </c>
      <c r="E209" t="s">
        <v>15</v>
      </c>
      <c r="F209" t="s">
        <v>16</v>
      </c>
      <c r="G209">
        <v>3074</v>
      </c>
      <c r="H209">
        <v>1083</v>
      </c>
      <c r="I209">
        <v>146</v>
      </c>
      <c r="J209">
        <v>360</v>
      </c>
      <c r="K209">
        <v>1</v>
      </c>
      <c r="L209" t="s">
        <v>26</v>
      </c>
      <c r="M209" t="str">
        <f t="shared" si="9"/>
        <v>Approved</v>
      </c>
      <c r="N209">
        <f t="shared" si="10"/>
        <v>4157</v>
      </c>
      <c r="O209">
        <f t="shared" si="11"/>
        <v>1</v>
      </c>
    </row>
    <row r="210" spans="1:15" x14ac:dyDescent="0.25">
      <c r="A210" t="s">
        <v>230</v>
      </c>
      <c r="B210" t="s">
        <v>25</v>
      </c>
      <c r="C210" t="s">
        <v>16</v>
      </c>
      <c r="D210" t="s">
        <v>389</v>
      </c>
      <c r="E210" t="s">
        <v>15</v>
      </c>
      <c r="F210" t="s">
        <v>16</v>
      </c>
      <c r="G210">
        <v>4213</v>
      </c>
      <c r="H210">
        <v>0</v>
      </c>
      <c r="I210">
        <v>80</v>
      </c>
      <c r="J210">
        <v>360</v>
      </c>
      <c r="K210">
        <v>1</v>
      </c>
      <c r="L210" t="s">
        <v>17</v>
      </c>
      <c r="M210" t="str">
        <f t="shared" si="9"/>
        <v>Approved</v>
      </c>
      <c r="N210">
        <f t="shared" si="10"/>
        <v>4213</v>
      </c>
      <c r="O210">
        <f t="shared" si="11"/>
        <v>1</v>
      </c>
    </row>
    <row r="211" spans="1:15" x14ac:dyDescent="0.25">
      <c r="A211" t="s">
        <v>231</v>
      </c>
      <c r="C211" t="s">
        <v>16</v>
      </c>
      <c r="D211" t="s">
        <v>390</v>
      </c>
      <c r="E211" t="s">
        <v>22</v>
      </c>
      <c r="F211" t="s">
        <v>16</v>
      </c>
      <c r="G211">
        <v>2038</v>
      </c>
      <c r="H211">
        <v>4027</v>
      </c>
      <c r="I211">
        <v>100</v>
      </c>
      <c r="J211">
        <v>360</v>
      </c>
      <c r="K211">
        <v>1</v>
      </c>
      <c r="L211" t="s">
        <v>28</v>
      </c>
      <c r="M211" t="str">
        <f t="shared" si="9"/>
        <v>Rejected</v>
      </c>
      <c r="N211">
        <f t="shared" si="10"/>
        <v>6065</v>
      </c>
      <c r="O211">
        <f t="shared" si="11"/>
        <v>0</v>
      </c>
    </row>
    <row r="212" spans="1:15" x14ac:dyDescent="0.25">
      <c r="A212" t="s">
        <v>232</v>
      </c>
      <c r="B212" t="s">
        <v>25</v>
      </c>
      <c r="C212" t="s">
        <v>16</v>
      </c>
      <c r="D212" t="s">
        <v>389</v>
      </c>
      <c r="E212" t="s">
        <v>15</v>
      </c>
      <c r="F212" t="s">
        <v>16</v>
      </c>
      <c r="G212">
        <v>2362</v>
      </c>
      <c r="H212">
        <v>0</v>
      </c>
      <c r="I212">
        <v>55</v>
      </c>
      <c r="J212">
        <v>360</v>
      </c>
      <c r="K212">
        <v>1</v>
      </c>
      <c r="L212" t="s">
        <v>17</v>
      </c>
      <c r="M212" t="str">
        <f t="shared" si="9"/>
        <v>Rejected</v>
      </c>
      <c r="N212">
        <f t="shared" si="10"/>
        <v>2362</v>
      </c>
      <c r="O212">
        <f t="shared" si="11"/>
        <v>0</v>
      </c>
    </row>
    <row r="213" spans="1:15" x14ac:dyDescent="0.25">
      <c r="A213" t="s">
        <v>233</v>
      </c>
      <c r="B213" t="s">
        <v>13</v>
      </c>
      <c r="C213" t="s">
        <v>16</v>
      </c>
      <c r="D213" t="s">
        <v>34</v>
      </c>
      <c r="E213" t="s">
        <v>15</v>
      </c>
      <c r="F213" t="s">
        <v>16</v>
      </c>
      <c r="G213">
        <v>5333</v>
      </c>
      <c r="H213">
        <v>2400</v>
      </c>
      <c r="I213">
        <v>200</v>
      </c>
      <c r="J213">
        <v>360</v>
      </c>
      <c r="K213">
        <v>0</v>
      </c>
      <c r="L213" t="s">
        <v>28</v>
      </c>
      <c r="M213" t="str">
        <f t="shared" si="9"/>
        <v>Rejected</v>
      </c>
      <c r="N213">
        <f t="shared" si="10"/>
        <v>7733</v>
      </c>
      <c r="O213">
        <f t="shared" si="11"/>
        <v>0</v>
      </c>
    </row>
    <row r="214" spans="1:15" x14ac:dyDescent="0.25">
      <c r="A214" t="s">
        <v>234</v>
      </c>
      <c r="B214" t="s">
        <v>13</v>
      </c>
      <c r="C214" t="s">
        <v>14</v>
      </c>
      <c r="D214" t="s">
        <v>389</v>
      </c>
      <c r="E214" t="s">
        <v>15</v>
      </c>
      <c r="F214" t="s">
        <v>14</v>
      </c>
      <c r="G214">
        <v>5384</v>
      </c>
      <c r="H214">
        <v>0</v>
      </c>
      <c r="I214">
        <v>150</v>
      </c>
      <c r="J214">
        <v>360</v>
      </c>
      <c r="K214">
        <v>1</v>
      </c>
      <c r="L214" t="s">
        <v>26</v>
      </c>
      <c r="M214" t="str">
        <f t="shared" si="9"/>
        <v>Approved</v>
      </c>
      <c r="N214">
        <f t="shared" si="10"/>
        <v>5384</v>
      </c>
      <c r="O214">
        <f t="shared" si="11"/>
        <v>1</v>
      </c>
    </row>
    <row r="215" spans="1:15" x14ac:dyDescent="0.25">
      <c r="A215" t="s">
        <v>235</v>
      </c>
      <c r="B215" t="s">
        <v>13</v>
      </c>
      <c r="C215" t="s">
        <v>16</v>
      </c>
      <c r="D215" t="s">
        <v>389</v>
      </c>
      <c r="E215" t="s">
        <v>15</v>
      </c>
      <c r="F215" t="s">
        <v>16</v>
      </c>
      <c r="G215">
        <v>5708</v>
      </c>
      <c r="H215">
        <v>0</v>
      </c>
      <c r="I215">
        <v>150</v>
      </c>
      <c r="J215">
        <v>360</v>
      </c>
      <c r="K215">
        <v>1</v>
      </c>
      <c r="L215" t="s">
        <v>28</v>
      </c>
      <c r="M215" t="str">
        <f t="shared" si="9"/>
        <v>Approved</v>
      </c>
      <c r="N215">
        <f t="shared" si="10"/>
        <v>5708</v>
      </c>
      <c r="O215">
        <f t="shared" si="11"/>
        <v>1</v>
      </c>
    </row>
    <row r="216" spans="1:15" x14ac:dyDescent="0.25">
      <c r="A216" t="s">
        <v>236</v>
      </c>
      <c r="B216" t="s">
        <v>13</v>
      </c>
      <c r="C216" t="s">
        <v>14</v>
      </c>
      <c r="D216" t="s">
        <v>389</v>
      </c>
      <c r="E216" t="s">
        <v>22</v>
      </c>
      <c r="F216" t="s">
        <v>16</v>
      </c>
      <c r="G216">
        <v>3754</v>
      </c>
      <c r="H216">
        <v>3719</v>
      </c>
      <c r="I216">
        <v>118</v>
      </c>
      <c r="K216">
        <v>1</v>
      </c>
      <c r="L216" t="s">
        <v>28</v>
      </c>
      <c r="M216" t="str">
        <f t="shared" si="9"/>
        <v>Approved</v>
      </c>
      <c r="N216">
        <f t="shared" si="10"/>
        <v>7473</v>
      </c>
      <c r="O216">
        <f t="shared" si="11"/>
        <v>1</v>
      </c>
    </row>
    <row r="217" spans="1:15" x14ac:dyDescent="0.25">
      <c r="A217" t="s">
        <v>237</v>
      </c>
      <c r="B217" t="s">
        <v>13</v>
      </c>
      <c r="C217" t="s">
        <v>14</v>
      </c>
      <c r="D217" t="s">
        <v>390</v>
      </c>
      <c r="E217" t="s">
        <v>22</v>
      </c>
      <c r="F217" t="s">
        <v>16</v>
      </c>
      <c r="G217">
        <v>2914</v>
      </c>
      <c r="H217">
        <v>2130</v>
      </c>
      <c r="I217">
        <v>150</v>
      </c>
      <c r="J217">
        <v>300</v>
      </c>
      <c r="K217">
        <v>1</v>
      </c>
      <c r="L217" t="s">
        <v>17</v>
      </c>
      <c r="M217" t="str">
        <f t="shared" si="9"/>
        <v>Rejected</v>
      </c>
      <c r="N217">
        <f t="shared" si="10"/>
        <v>5044</v>
      </c>
      <c r="O217">
        <f t="shared" si="11"/>
        <v>0</v>
      </c>
    </row>
    <row r="218" spans="1:15" x14ac:dyDescent="0.25">
      <c r="A218" t="s">
        <v>238</v>
      </c>
      <c r="B218" t="s">
        <v>13</v>
      </c>
      <c r="C218" t="s">
        <v>14</v>
      </c>
      <c r="D218" t="s">
        <v>389</v>
      </c>
      <c r="E218" t="s">
        <v>22</v>
      </c>
      <c r="F218" t="s">
        <v>16</v>
      </c>
      <c r="G218">
        <v>2747</v>
      </c>
      <c r="H218">
        <v>2458</v>
      </c>
      <c r="I218">
        <v>118</v>
      </c>
      <c r="J218">
        <v>36</v>
      </c>
      <c r="K218">
        <v>1</v>
      </c>
      <c r="L218" t="s">
        <v>26</v>
      </c>
      <c r="M218" t="str">
        <f t="shared" si="9"/>
        <v>Rejected</v>
      </c>
      <c r="N218">
        <f t="shared" si="10"/>
        <v>5205</v>
      </c>
      <c r="O218">
        <f t="shared" si="11"/>
        <v>0</v>
      </c>
    </row>
    <row r="219" spans="1:15" x14ac:dyDescent="0.25">
      <c r="A219" t="s">
        <v>239</v>
      </c>
      <c r="B219" t="s">
        <v>13</v>
      </c>
      <c r="C219" t="s">
        <v>14</v>
      </c>
      <c r="D219" t="s">
        <v>389</v>
      </c>
      <c r="E219" t="s">
        <v>15</v>
      </c>
      <c r="F219" t="s">
        <v>16</v>
      </c>
      <c r="G219">
        <v>7830</v>
      </c>
      <c r="H219">
        <v>2183</v>
      </c>
      <c r="I219">
        <v>212</v>
      </c>
      <c r="J219">
        <v>360</v>
      </c>
      <c r="K219">
        <v>1</v>
      </c>
      <c r="L219" t="s">
        <v>28</v>
      </c>
      <c r="M219" t="str">
        <f t="shared" si="9"/>
        <v>Rejected</v>
      </c>
      <c r="N219">
        <f t="shared" si="10"/>
        <v>10013</v>
      </c>
      <c r="O219">
        <f t="shared" si="11"/>
        <v>0</v>
      </c>
    </row>
    <row r="220" spans="1:15" x14ac:dyDescent="0.25">
      <c r="A220" t="s">
        <v>240</v>
      </c>
      <c r="B220" t="s">
        <v>13</v>
      </c>
      <c r="C220" t="s">
        <v>14</v>
      </c>
      <c r="D220" t="s">
        <v>389</v>
      </c>
      <c r="E220" t="s">
        <v>15</v>
      </c>
      <c r="F220" t="s">
        <v>14</v>
      </c>
      <c r="G220">
        <v>3507</v>
      </c>
      <c r="H220">
        <v>3148</v>
      </c>
      <c r="I220">
        <v>212</v>
      </c>
      <c r="J220">
        <v>360</v>
      </c>
      <c r="K220">
        <v>1</v>
      </c>
      <c r="L220" t="s">
        <v>28</v>
      </c>
      <c r="M220" t="str">
        <f t="shared" si="9"/>
        <v>Rejected</v>
      </c>
      <c r="N220">
        <f t="shared" si="10"/>
        <v>6655</v>
      </c>
      <c r="O220">
        <f t="shared" si="11"/>
        <v>0</v>
      </c>
    </row>
    <row r="221" spans="1:15" x14ac:dyDescent="0.25">
      <c r="A221" t="s">
        <v>241</v>
      </c>
      <c r="B221" t="s">
        <v>13</v>
      </c>
      <c r="C221" t="s">
        <v>14</v>
      </c>
      <c r="D221" t="s">
        <v>391</v>
      </c>
      <c r="E221" t="s">
        <v>15</v>
      </c>
      <c r="F221" t="s">
        <v>16</v>
      </c>
      <c r="G221">
        <v>3747</v>
      </c>
      <c r="H221">
        <v>2139</v>
      </c>
      <c r="I221">
        <v>125</v>
      </c>
      <c r="J221">
        <v>360</v>
      </c>
      <c r="K221">
        <v>1</v>
      </c>
      <c r="L221" t="s">
        <v>17</v>
      </c>
      <c r="M221" t="str">
        <f t="shared" si="9"/>
        <v>Approved</v>
      </c>
      <c r="N221">
        <f t="shared" si="10"/>
        <v>5886</v>
      </c>
      <c r="O221">
        <f t="shared" si="11"/>
        <v>1</v>
      </c>
    </row>
    <row r="222" spans="1:15" x14ac:dyDescent="0.25">
      <c r="A222" t="s">
        <v>242</v>
      </c>
      <c r="B222" t="s">
        <v>13</v>
      </c>
      <c r="C222" t="s">
        <v>14</v>
      </c>
      <c r="D222" t="s">
        <v>391</v>
      </c>
      <c r="E222" t="s">
        <v>15</v>
      </c>
      <c r="F222" t="s">
        <v>16</v>
      </c>
      <c r="G222">
        <v>2166</v>
      </c>
      <c r="H222">
        <v>2166</v>
      </c>
      <c r="I222">
        <v>108</v>
      </c>
      <c r="J222">
        <v>360</v>
      </c>
      <c r="L222" t="s">
        <v>17</v>
      </c>
      <c r="M222" t="str">
        <f t="shared" si="9"/>
        <v>Rejected</v>
      </c>
      <c r="N222">
        <f t="shared" si="10"/>
        <v>4332</v>
      </c>
      <c r="O222">
        <f t="shared" si="11"/>
        <v>0</v>
      </c>
    </row>
    <row r="223" spans="1:15" x14ac:dyDescent="0.25">
      <c r="A223" t="s">
        <v>243</v>
      </c>
      <c r="B223" t="s">
        <v>13</v>
      </c>
      <c r="C223" t="s">
        <v>14</v>
      </c>
      <c r="D223" t="s">
        <v>389</v>
      </c>
      <c r="E223" t="s">
        <v>22</v>
      </c>
      <c r="F223" t="s">
        <v>16</v>
      </c>
      <c r="G223">
        <v>3500</v>
      </c>
      <c r="H223">
        <v>2168</v>
      </c>
      <c r="I223">
        <v>149</v>
      </c>
      <c r="J223">
        <v>360</v>
      </c>
      <c r="K223">
        <v>1</v>
      </c>
      <c r="L223" t="s">
        <v>28</v>
      </c>
      <c r="M223" t="str">
        <f t="shared" si="9"/>
        <v>Approved</v>
      </c>
      <c r="N223">
        <f t="shared" si="10"/>
        <v>5668</v>
      </c>
      <c r="O223">
        <f t="shared" si="11"/>
        <v>1</v>
      </c>
    </row>
    <row r="224" spans="1:15" x14ac:dyDescent="0.25">
      <c r="A224" t="s">
        <v>244</v>
      </c>
      <c r="B224" t="s">
        <v>13</v>
      </c>
      <c r="C224" t="s">
        <v>14</v>
      </c>
      <c r="D224" t="s">
        <v>389</v>
      </c>
      <c r="E224" t="s">
        <v>22</v>
      </c>
      <c r="F224" t="s">
        <v>16</v>
      </c>
      <c r="G224">
        <v>2896</v>
      </c>
      <c r="H224">
        <v>0</v>
      </c>
      <c r="I224">
        <v>80</v>
      </c>
      <c r="J224">
        <v>480</v>
      </c>
      <c r="K224">
        <v>1</v>
      </c>
      <c r="L224" t="s">
        <v>17</v>
      </c>
      <c r="M224" t="str">
        <f t="shared" si="9"/>
        <v>Rejected</v>
      </c>
      <c r="N224">
        <f t="shared" si="10"/>
        <v>2896</v>
      </c>
      <c r="O224">
        <f t="shared" si="11"/>
        <v>0</v>
      </c>
    </row>
    <row r="225" spans="1:15" x14ac:dyDescent="0.25">
      <c r="A225" t="s">
        <v>245</v>
      </c>
      <c r="B225" t="s">
        <v>25</v>
      </c>
      <c r="C225" t="s">
        <v>16</v>
      </c>
      <c r="D225" t="s">
        <v>389</v>
      </c>
      <c r="E225" t="s">
        <v>15</v>
      </c>
      <c r="F225" t="s">
        <v>16</v>
      </c>
      <c r="G225">
        <v>5062</v>
      </c>
      <c r="H225">
        <v>0</v>
      </c>
      <c r="I225">
        <v>152</v>
      </c>
      <c r="J225">
        <v>300</v>
      </c>
      <c r="K225">
        <v>1</v>
      </c>
      <c r="L225" t="s">
        <v>28</v>
      </c>
      <c r="M225" t="str">
        <f t="shared" si="9"/>
        <v>Approved</v>
      </c>
      <c r="N225">
        <f t="shared" si="10"/>
        <v>5062</v>
      </c>
      <c r="O225">
        <f t="shared" si="11"/>
        <v>1</v>
      </c>
    </row>
    <row r="226" spans="1:15" x14ac:dyDescent="0.25">
      <c r="A226" t="s">
        <v>246</v>
      </c>
      <c r="B226" t="s">
        <v>25</v>
      </c>
      <c r="C226" t="s">
        <v>16</v>
      </c>
      <c r="D226" t="s">
        <v>389</v>
      </c>
      <c r="E226" t="s">
        <v>15</v>
      </c>
      <c r="F226" t="s">
        <v>14</v>
      </c>
      <c r="G226">
        <v>5184</v>
      </c>
      <c r="H226">
        <v>0</v>
      </c>
      <c r="I226">
        <v>187</v>
      </c>
      <c r="J226">
        <v>360</v>
      </c>
      <c r="K226">
        <v>0</v>
      </c>
      <c r="L226" t="s">
        <v>26</v>
      </c>
      <c r="M226" t="str">
        <f t="shared" si="9"/>
        <v>Rejected</v>
      </c>
      <c r="N226">
        <f t="shared" si="10"/>
        <v>5184</v>
      </c>
      <c r="O226">
        <f t="shared" si="11"/>
        <v>0</v>
      </c>
    </row>
    <row r="227" spans="1:15" x14ac:dyDescent="0.25">
      <c r="A227" t="s">
        <v>247</v>
      </c>
      <c r="B227" t="s">
        <v>25</v>
      </c>
      <c r="C227" t="s">
        <v>16</v>
      </c>
      <c r="D227" t="s">
        <v>389</v>
      </c>
      <c r="E227" t="s">
        <v>15</v>
      </c>
      <c r="F227" t="s">
        <v>16</v>
      </c>
      <c r="G227">
        <v>2545</v>
      </c>
      <c r="H227">
        <v>0</v>
      </c>
      <c r="I227">
        <v>74</v>
      </c>
      <c r="J227">
        <v>360</v>
      </c>
      <c r="K227">
        <v>1</v>
      </c>
      <c r="L227" t="s">
        <v>17</v>
      </c>
      <c r="M227" t="str">
        <f t="shared" si="9"/>
        <v>Rejected</v>
      </c>
      <c r="N227">
        <f t="shared" si="10"/>
        <v>2545</v>
      </c>
      <c r="O227">
        <f t="shared" si="11"/>
        <v>0</v>
      </c>
    </row>
    <row r="228" spans="1:15" x14ac:dyDescent="0.25">
      <c r="A228" t="s">
        <v>248</v>
      </c>
      <c r="B228" t="s">
        <v>13</v>
      </c>
      <c r="C228" t="s">
        <v>14</v>
      </c>
      <c r="D228" t="s">
        <v>389</v>
      </c>
      <c r="E228" t="s">
        <v>15</v>
      </c>
      <c r="F228" t="s">
        <v>16</v>
      </c>
      <c r="G228">
        <v>2553</v>
      </c>
      <c r="H228">
        <v>1768</v>
      </c>
      <c r="I228">
        <v>102</v>
      </c>
      <c r="J228">
        <v>360</v>
      </c>
      <c r="K228">
        <v>1</v>
      </c>
      <c r="L228" t="s">
        <v>17</v>
      </c>
      <c r="M228" t="str">
        <f t="shared" si="9"/>
        <v>Rejected</v>
      </c>
      <c r="N228">
        <f t="shared" si="10"/>
        <v>4321</v>
      </c>
      <c r="O228">
        <f t="shared" si="11"/>
        <v>0</v>
      </c>
    </row>
    <row r="229" spans="1:15" x14ac:dyDescent="0.25">
      <c r="A229" t="s">
        <v>249</v>
      </c>
      <c r="B229" t="s">
        <v>13</v>
      </c>
      <c r="C229" t="s">
        <v>14</v>
      </c>
      <c r="D229" t="s">
        <v>389</v>
      </c>
      <c r="E229" t="s">
        <v>15</v>
      </c>
      <c r="F229" t="s">
        <v>16</v>
      </c>
      <c r="G229">
        <v>3436</v>
      </c>
      <c r="H229">
        <v>3809</v>
      </c>
      <c r="I229">
        <v>100</v>
      </c>
      <c r="J229">
        <v>360</v>
      </c>
      <c r="K229">
        <v>1</v>
      </c>
      <c r="L229" t="s">
        <v>28</v>
      </c>
      <c r="M229" t="str">
        <f t="shared" si="9"/>
        <v>Approved</v>
      </c>
      <c r="N229">
        <f t="shared" si="10"/>
        <v>7245</v>
      </c>
      <c r="O229">
        <f t="shared" si="11"/>
        <v>1</v>
      </c>
    </row>
    <row r="230" spans="1:15" x14ac:dyDescent="0.25">
      <c r="A230" t="s">
        <v>250</v>
      </c>
      <c r="B230" t="s">
        <v>13</v>
      </c>
      <c r="C230" t="s">
        <v>16</v>
      </c>
      <c r="D230" t="s">
        <v>391</v>
      </c>
      <c r="E230" t="s">
        <v>15</v>
      </c>
      <c r="F230" t="s">
        <v>16</v>
      </c>
      <c r="G230">
        <v>2412</v>
      </c>
      <c r="H230">
        <v>2755</v>
      </c>
      <c r="I230">
        <v>130</v>
      </c>
      <c r="J230">
        <v>360</v>
      </c>
      <c r="K230">
        <v>1</v>
      </c>
      <c r="L230" t="s">
        <v>28</v>
      </c>
      <c r="M230" t="str">
        <f t="shared" si="9"/>
        <v>Rejected</v>
      </c>
      <c r="N230">
        <f t="shared" si="10"/>
        <v>5167</v>
      </c>
      <c r="O230">
        <f t="shared" si="11"/>
        <v>0</v>
      </c>
    </row>
    <row r="231" spans="1:15" x14ac:dyDescent="0.25">
      <c r="A231" t="s">
        <v>251</v>
      </c>
      <c r="B231" t="s">
        <v>13</v>
      </c>
      <c r="C231" t="s">
        <v>14</v>
      </c>
      <c r="D231" t="s">
        <v>392</v>
      </c>
      <c r="E231" t="s">
        <v>22</v>
      </c>
      <c r="F231" t="s">
        <v>16</v>
      </c>
      <c r="G231">
        <v>5180</v>
      </c>
      <c r="H231">
        <v>0</v>
      </c>
      <c r="I231">
        <v>125</v>
      </c>
      <c r="J231">
        <v>360</v>
      </c>
      <c r="K231">
        <v>0</v>
      </c>
      <c r="L231" t="s">
        <v>17</v>
      </c>
      <c r="M231" t="str">
        <f t="shared" si="9"/>
        <v>Rejected</v>
      </c>
      <c r="N231">
        <f t="shared" si="10"/>
        <v>5180</v>
      </c>
      <c r="O231">
        <f t="shared" si="11"/>
        <v>0</v>
      </c>
    </row>
    <row r="232" spans="1:15" x14ac:dyDescent="0.25">
      <c r="A232" t="s">
        <v>252</v>
      </c>
      <c r="B232" t="s">
        <v>13</v>
      </c>
      <c r="C232" t="s">
        <v>16</v>
      </c>
      <c r="D232" t="s">
        <v>389</v>
      </c>
      <c r="E232" t="s">
        <v>15</v>
      </c>
      <c r="F232" t="s">
        <v>16</v>
      </c>
      <c r="G232">
        <v>14911</v>
      </c>
      <c r="H232">
        <v>14507</v>
      </c>
      <c r="I232">
        <v>130</v>
      </c>
      <c r="J232">
        <v>360</v>
      </c>
      <c r="K232">
        <v>1</v>
      </c>
      <c r="L232" t="s">
        <v>26</v>
      </c>
      <c r="M232" t="str">
        <f t="shared" si="9"/>
        <v>Approved</v>
      </c>
      <c r="N232">
        <f t="shared" si="10"/>
        <v>29418</v>
      </c>
      <c r="O232">
        <f t="shared" si="11"/>
        <v>1</v>
      </c>
    </row>
    <row r="233" spans="1:15" x14ac:dyDescent="0.25">
      <c r="A233" t="s">
        <v>253</v>
      </c>
      <c r="C233" t="s">
        <v>16</v>
      </c>
      <c r="D233" t="s">
        <v>389</v>
      </c>
      <c r="E233" t="s">
        <v>15</v>
      </c>
      <c r="F233" t="s">
        <v>14</v>
      </c>
      <c r="G233">
        <v>2860</v>
      </c>
      <c r="H233">
        <v>2988</v>
      </c>
      <c r="I233">
        <v>138</v>
      </c>
      <c r="J233">
        <v>360</v>
      </c>
      <c r="K233">
        <v>1</v>
      </c>
      <c r="L233" t="s">
        <v>17</v>
      </c>
      <c r="M233" t="str">
        <f t="shared" si="9"/>
        <v>Rejected</v>
      </c>
      <c r="N233">
        <f t="shared" si="10"/>
        <v>5848</v>
      </c>
      <c r="O233">
        <f t="shared" si="11"/>
        <v>0</v>
      </c>
    </row>
    <row r="234" spans="1:15" x14ac:dyDescent="0.25">
      <c r="A234" t="s">
        <v>254</v>
      </c>
      <c r="B234" t="s">
        <v>13</v>
      </c>
      <c r="C234" t="s">
        <v>14</v>
      </c>
      <c r="D234" t="s">
        <v>34</v>
      </c>
      <c r="E234" t="s">
        <v>15</v>
      </c>
      <c r="F234" t="s">
        <v>16</v>
      </c>
      <c r="G234">
        <v>1173</v>
      </c>
      <c r="H234">
        <v>1594</v>
      </c>
      <c r="I234">
        <v>28</v>
      </c>
      <c r="J234">
        <v>180</v>
      </c>
      <c r="K234">
        <v>1</v>
      </c>
      <c r="L234" t="s">
        <v>28</v>
      </c>
      <c r="M234" t="str">
        <f t="shared" si="9"/>
        <v>Rejected</v>
      </c>
      <c r="N234">
        <f t="shared" si="10"/>
        <v>2767</v>
      </c>
      <c r="O234">
        <f t="shared" si="11"/>
        <v>0</v>
      </c>
    </row>
    <row r="235" spans="1:15" x14ac:dyDescent="0.25">
      <c r="A235" t="s">
        <v>255</v>
      </c>
      <c r="B235" t="s">
        <v>25</v>
      </c>
      <c r="C235" t="s">
        <v>16</v>
      </c>
      <c r="D235" t="s">
        <v>392</v>
      </c>
      <c r="E235" t="s">
        <v>15</v>
      </c>
      <c r="F235" t="s">
        <v>16</v>
      </c>
      <c r="G235">
        <v>7600</v>
      </c>
      <c r="H235">
        <v>0</v>
      </c>
      <c r="I235">
        <v>92</v>
      </c>
      <c r="J235">
        <v>360</v>
      </c>
      <c r="K235">
        <v>1</v>
      </c>
      <c r="L235" t="s">
        <v>26</v>
      </c>
      <c r="M235" t="str">
        <f t="shared" si="9"/>
        <v>Approved</v>
      </c>
      <c r="N235">
        <f t="shared" si="10"/>
        <v>7600</v>
      </c>
      <c r="O235">
        <f t="shared" si="11"/>
        <v>1</v>
      </c>
    </row>
    <row r="236" spans="1:15" x14ac:dyDescent="0.25">
      <c r="A236" t="s">
        <v>256</v>
      </c>
      <c r="B236" t="s">
        <v>25</v>
      </c>
      <c r="C236" t="s">
        <v>14</v>
      </c>
      <c r="D236" t="s">
        <v>390</v>
      </c>
      <c r="E236" t="s">
        <v>15</v>
      </c>
      <c r="F236" t="s">
        <v>16</v>
      </c>
      <c r="G236">
        <v>2157</v>
      </c>
      <c r="H236">
        <v>1788</v>
      </c>
      <c r="I236">
        <v>104</v>
      </c>
      <c r="J236">
        <v>360</v>
      </c>
      <c r="K236">
        <v>1</v>
      </c>
      <c r="L236" t="s">
        <v>17</v>
      </c>
      <c r="M236" t="str">
        <f t="shared" si="9"/>
        <v>Rejected</v>
      </c>
      <c r="N236">
        <f t="shared" si="10"/>
        <v>3945</v>
      </c>
      <c r="O236">
        <f t="shared" si="11"/>
        <v>0</v>
      </c>
    </row>
    <row r="237" spans="1:15" x14ac:dyDescent="0.25">
      <c r="A237" t="s">
        <v>257</v>
      </c>
      <c r="B237" t="s">
        <v>13</v>
      </c>
      <c r="C237" t="s">
        <v>16</v>
      </c>
      <c r="D237" t="s">
        <v>391</v>
      </c>
      <c r="E237" t="s">
        <v>15</v>
      </c>
      <c r="F237" t="s">
        <v>16</v>
      </c>
      <c r="G237">
        <v>2231</v>
      </c>
      <c r="H237">
        <v>2774</v>
      </c>
      <c r="I237">
        <v>176</v>
      </c>
      <c r="J237">
        <v>360</v>
      </c>
      <c r="K237">
        <v>0</v>
      </c>
      <c r="L237" t="s">
        <v>17</v>
      </c>
      <c r="M237" t="str">
        <f t="shared" si="9"/>
        <v>Rejected</v>
      </c>
      <c r="N237">
        <f t="shared" si="10"/>
        <v>5005</v>
      </c>
      <c r="O237">
        <f t="shared" si="11"/>
        <v>0</v>
      </c>
    </row>
    <row r="238" spans="1:15" x14ac:dyDescent="0.25">
      <c r="A238" t="s">
        <v>258</v>
      </c>
      <c r="B238" t="s">
        <v>25</v>
      </c>
      <c r="C238" t="s">
        <v>16</v>
      </c>
      <c r="D238" t="s">
        <v>390</v>
      </c>
      <c r="E238" t="s">
        <v>15</v>
      </c>
      <c r="F238" t="s">
        <v>16</v>
      </c>
      <c r="G238">
        <v>2274</v>
      </c>
      <c r="H238">
        <v>5211</v>
      </c>
      <c r="I238">
        <v>117</v>
      </c>
      <c r="J238">
        <v>360</v>
      </c>
      <c r="K238">
        <v>0</v>
      </c>
      <c r="L238" t="s">
        <v>26</v>
      </c>
      <c r="M238" t="str">
        <f t="shared" si="9"/>
        <v>Rejected</v>
      </c>
      <c r="N238">
        <f t="shared" si="10"/>
        <v>7485</v>
      </c>
      <c r="O238">
        <f t="shared" si="11"/>
        <v>0</v>
      </c>
    </row>
    <row r="239" spans="1:15" x14ac:dyDescent="0.25">
      <c r="A239" t="s">
        <v>259</v>
      </c>
      <c r="B239" t="s">
        <v>13</v>
      </c>
      <c r="C239" t="s">
        <v>14</v>
      </c>
      <c r="D239" t="s">
        <v>389</v>
      </c>
      <c r="E239" t="s">
        <v>22</v>
      </c>
      <c r="F239" t="s">
        <v>16</v>
      </c>
      <c r="G239">
        <v>6166</v>
      </c>
      <c r="H239">
        <v>13983</v>
      </c>
      <c r="I239">
        <v>102</v>
      </c>
      <c r="J239">
        <v>360</v>
      </c>
      <c r="K239">
        <v>1</v>
      </c>
      <c r="L239" t="s">
        <v>28</v>
      </c>
      <c r="M239" t="str">
        <f t="shared" si="9"/>
        <v>Approved</v>
      </c>
      <c r="N239">
        <f t="shared" si="10"/>
        <v>20149</v>
      </c>
      <c r="O239">
        <f t="shared" si="11"/>
        <v>1</v>
      </c>
    </row>
    <row r="240" spans="1:15" x14ac:dyDescent="0.25">
      <c r="A240" t="s">
        <v>260</v>
      </c>
      <c r="B240" t="s">
        <v>13</v>
      </c>
      <c r="C240" t="s">
        <v>14</v>
      </c>
      <c r="D240" t="s">
        <v>389</v>
      </c>
      <c r="E240" t="s">
        <v>22</v>
      </c>
      <c r="F240" t="s">
        <v>16</v>
      </c>
      <c r="G240">
        <v>2513</v>
      </c>
      <c r="H240">
        <v>1110</v>
      </c>
      <c r="I240">
        <v>107</v>
      </c>
      <c r="J240">
        <v>360</v>
      </c>
      <c r="K240">
        <v>1</v>
      </c>
      <c r="L240" t="s">
        <v>26</v>
      </c>
      <c r="M240" t="str">
        <f t="shared" si="9"/>
        <v>Rejected</v>
      </c>
      <c r="N240">
        <f t="shared" si="10"/>
        <v>3623</v>
      </c>
      <c r="O240">
        <f t="shared" si="11"/>
        <v>0</v>
      </c>
    </row>
    <row r="241" spans="1:15" x14ac:dyDescent="0.25">
      <c r="A241" t="s">
        <v>261</v>
      </c>
      <c r="B241" t="s">
        <v>13</v>
      </c>
      <c r="C241" t="s">
        <v>16</v>
      </c>
      <c r="D241" t="s">
        <v>389</v>
      </c>
      <c r="E241" t="s">
        <v>15</v>
      </c>
      <c r="F241" t="s">
        <v>16</v>
      </c>
      <c r="G241">
        <v>4333</v>
      </c>
      <c r="H241">
        <v>0</v>
      </c>
      <c r="I241">
        <v>66</v>
      </c>
      <c r="J241">
        <v>480</v>
      </c>
      <c r="K241">
        <v>1</v>
      </c>
      <c r="L241" t="s">
        <v>17</v>
      </c>
      <c r="M241" t="str">
        <f t="shared" si="9"/>
        <v>Approved</v>
      </c>
      <c r="N241">
        <f t="shared" si="10"/>
        <v>4333</v>
      </c>
      <c r="O241">
        <f t="shared" si="11"/>
        <v>1</v>
      </c>
    </row>
    <row r="242" spans="1:15" x14ac:dyDescent="0.25">
      <c r="A242" t="s">
        <v>262</v>
      </c>
      <c r="B242" t="s">
        <v>13</v>
      </c>
      <c r="C242" t="s">
        <v>16</v>
      </c>
      <c r="D242" t="s">
        <v>389</v>
      </c>
      <c r="E242" t="s">
        <v>22</v>
      </c>
      <c r="F242" t="s">
        <v>16</v>
      </c>
      <c r="G242">
        <v>3844</v>
      </c>
      <c r="H242">
        <v>0</v>
      </c>
      <c r="I242">
        <v>105</v>
      </c>
      <c r="J242">
        <v>360</v>
      </c>
      <c r="K242">
        <v>1</v>
      </c>
      <c r="L242" t="s">
        <v>17</v>
      </c>
      <c r="M242" t="str">
        <f t="shared" si="9"/>
        <v>Approved</v>
      </c>
      <c r="N242">
        <f t="shared" si="10"/>
        <v>3844</v>
      </c>
      <c r="O242">
        <f t="shared" si="11"/>
        <v>1</v>
      </c>
    </row>
    <row r="243" spans="1:15" x14ac:dyDescent="0.25">
      <c r="A243" t="s">
        <v>263</v>
      </c>
      <c r="B243" t="s">
        <v>13</v>
      </c>
      <c r="C243" t="s">
        <v>14</v>
      </c>
      <c r="D243" t="s">
        <v>390</v>
      </c>
      <c r="E243" t="s">
        <v>15</v>
      </c>
      <c r="F243" t="s">
        <v>16</v>
      </c>
      <c r="G243">
        <v>3887</v>
      </c>
      <c r="H243">
        <v>1517</v>
      </c>
      <c r="I243">
        <v>105</v>
      </c>
      <c r="J243">
        <v>360</v>
      </c>
      <c r="K243">
        <v>0</v>
      </c>
      <c r="L243" t="s">
        <v>26</v>
      </c>
      <c r="M243" t="str">
        <f t="shared" si="9"/>
        <v>Rejected</v>
      </c>
      <c r="N243">
        <f t="shared" si="10"/>
        <v>5404</v>
      </c>
      <c r="O243">
        <f t="shared" si="11"/>
        <v>0</v>
      </c>
    </row>
    <row r="244" spans="1:15" x14ac:dyDescent="0.25">
      <c r="A244" t="s">
        <v>264</v>
      </c>
      <c r="B244" t="s">
        <v>13</v>
      </c>
      <c r="C244" t="s">
        <v>14</v>
      </c>
      <c r="D244" t="s">
        <v>34</v>
      </c>
      <c r="E244" t="s">
        <v>15</v>
      </c>
      <c r="F244" t="s">
        <v>16</v>
      </c>
      <c r="G244">
        <v>3510</v>
      </c>
      <c r="H244">
        <v>828</v>
      </c>
      <c r="I244">
        <v>105</v>
      </c>
      <c r="J244">
        <v>360</v>
      </c>
      <c r="K244">
        <v>1</v>
      </c>
      <c r="L244" t="s">
        <v>26</v>
      </c>
      <c r="M244" t="str">
        <f t="shared" si="9"/>
        <v>Approved</v>
      </c>
      <c r="N244">
        <f t="shared" si="10"/>
        <v>4338</v>
      </c>
      <c r="O244">
        <f t="shared" si="11"/>
        <v>1</v>
      </c>
    </row>
    <row r="245" spans="1:15" x14ac:dyDescent="0.25">
      <c r="A245" t="s">
        <v>265</v>
      </c>
      <c r="B245" t="s">
        <v>13</v>
      </c>
      <c r="C245" t="s">
        <v>14</v>
      </c>
      <c r="D245" t="s">
        <v>389</v>
      </c>
      <c r="E245" t="s">
        <v>15</v>
      </c>
      <c r="G245">
        <v>2539</v>
      </c>
      <c r="H245">
        <v>1704</v>
      </c>
      <c r="I245">
        <v>125</v>
      </c>
      <c r="J245">
        <v>360</v>
      </c>
      <c r="K245">
        <v>0</v>
      </c>
      <c r="L245" t="s">
        <v>28</v>
      </c>
      <c r="M245" t="str">
        <f t="shared" si="9"/>
        <v>Rejected</v>
      </c>
      <c r="N245">
        <f t="shared" si="10"/>
        <v>4243</v>
      </c>
      <c r="O245">
        <f t="shared" si="11"/>
        <v>0</v>
      </c>
    </row>
    <row r="246" spans="1:15" x14ac:dyDescent="0.25">
      <c r="A246" t="s">
        <v>266</v>
      </c>
      <c r="B246" t="s">
        <v>25</v>
      </c>
      <c r="C246" t="s">
        <v>16</v>
      </c>
      <c r="D246" t="s">
        <v>389</v>
      </c>
      <c r="E246" t="s">
        <v>22</v>
      </c>
      <c r="F246" t="s">
        <v>16</v>
      </c>
      <c r="G246">
        <v>2107</v>
      </c>
      <c r="H246">
        <v>0</v>
      </c>
      <c r="I246">
        <v>64</v>
      </c>
      <c r="J246">
        <v>360</v>
      </c>
      <c r="K246">
        <v>1</v>
      </c>
      <c r="L246" t="s">
        <v>26</v>
      </c>
      <c r="M246" t="str">
        <f t="shared" si="9"/>
        <v>Rejected</v>
      </c>
      <c r="N246">
        <f t="shared" si="10"/>
        <v>2107</v>
      </c>
      <c r="O246">
        <f t="shared" si="11"/>
        <v>0</v>
      </c>
    </row>
    <row r="247" spans="1:15" x14ac:dyDescent="0.25">
      <c r="A247" t="s">
        <v>267</v>
      </c>
      <c r="C247" t="s">
        <v>14</v>
      </c>
      <c r="D247" t="s">
        <v>390</v>
      </c>
      <c r="E247" t="s">
        <v>15</v>
      </c>
      <c r="F247" t="s">
        <v>16</v>
      </c>
      <c r="G247">
        <v>3186</v>
      </c>
      <c r="H247">
        <v>3145</v>
      </c>
      <c r="I247">
        <v>150</v>
      </c>
      <c r="J247">
        <v>180</v>
      </c>
      <c r="K247">
        <v>0</v>
      </c>
      <c r="L247" t="s">
        <v>26</v>
      </c>
      <c r="M247" t="str">
        <f t="shared" si="9"/>
        <v>Rejected</v>
      </c>
      <c r="N247">
        <f t="shared" si="10"/>
        <v>6331</v>
      </c>
      <c r="O247">
        <f t="shared" si="11"/>
        <v>0</v>
      </c>
    </row>
    <row r="248" spans="1:15" x14ac:dyDescent="0.25">
      <c r="A248" t="s">
        <v>268</v>
      </c>
      <c r="B248" t="s">
        <v>13</v>
      </c>
      <c r="C248" t="s">
        <v>14</v>
      </c>
      <c r="D248" t="s">
        <v>391</v>
      </c>
      <c r="E248" t="s">
        <v>15</v>
      </c>
      <c r="F248" t="s">
        <v>14</v>
      </c>
      <c r="G248">
        <v>5000</v>
      </c>
      <c r="H248">
        <v>2166</v>
      </c>
      <c r="I248">
        <v>150</v>
      </c>
      <c r="J248">
        <v>360</v>
      </c>
      <c r="K248">
        <v>1</v>
      </c>
      <c r="L248" t="s">
        <v>17</v>
      </c>
      <c r="M248" t="str">
        <f t="shared" si="9"/>
        <v>Approved</v>
      </c>
      <c r="N248">
        <f t="shared" si="10"/>
        <v>7166</v>
      </c>
      <c r="O248">
        <f t="shared" si="11"/>
        <v>1</v>
      </c>
    </row>
    <row r="249" spans="1:15" x14ac:dyDescent="0.25">
      <c r="A249" t="s">
        <v>269</v>
      </c>
      <c r="B249" t="s">
        <v>13</v>
      </c>
      <c r="C249" t="s">
        <v>14</v>
      </c>
      <c r="D249" t="s">
        <v>392</v>
      </c>
      <c r="E249" t="s">
        <v>15</v>
      </c>
      <c r="F249" t="s">
        <v>16</v>
      </c>
      <c r="G249">
        <v>10000</v>
      </c>
      <c r="H249">
        <v>0</v>
      </c>
      <c r="J249">
        <v>360</v>
      </c>
      <c r="K249">
        <v>1</v>
      </c>
      <c r="L249" t="s">
        <v>17</v>
      </c>
      <c r="M249" t="str">
        <f t="shared" si="9"/>
        <v>Approved</v>
      </c>
      <c r="N249">
        <f t="shared" si="10"/>
        <v>10000</v>
      </c>
      <c r="O249">
        <f t="shared" si="11"/>
        <v>1</v>
      </c>
    </row>
    <row r="250" spans="1:15" x14ac:dyDescent="0.25">
      <c r="A250" t="s">
        <v>270</v>
      </c>
      <c r="B250" t="s">
        <v>13</v>
      </c>
      <c r="C250" t="s">
        <v>14</v>
      </c>
      <c r="D250" t="s">
        <v>390</v>
      </c>
      <c r="E250" t="s">
        <v>22</v>
      </c>
      <c r="F250" t="s">
        <v>14</v>
      </c>
      <c r="G250">
        <v>3943</v>
      </c>
      <c r="H250">
        <v>0</v>
      </c>
      <c r="I250">
        <v>64</v>
      </c>
      <c r="J250">
        <v>360</v>
      </c>
      <c r="K250">
        <v>1</v>
      </c>
      <c r="L250" t="s">
        <v>26</v>
      </c>
      <c r="M250" t="str">
        <f t="shared" si="9"/>
        <v>Approved</v>
      </c>
      <c r="N250">
        <f t="shared" si="10"/>
        <v>3943</v>
      </c>
      <c r="O250">
        <f t="shared" si="11"/>
        <v>1</v>
      </c>
    </row>
    <row r="251" spans="1:15" x14ac:dyDescent="0.25">
      <c r="A251" t="s">
        <v>271</v>
      </c>
      <c r="B251" t="s">
        <v>13</v>
      </c>
      <c r="C251" t="s">
        <v>16</v>
      </c>
      <c r="D251" t="s">
        <v>390</v>
      </c>
      <c r="E251" t="s">
        <v>15</v>
      </c>
      <c r="F251" t="s">
        <v>16</v>
      </c>
      <c r="G251">
        <v>2925</v>
      </c>
      <c r="H251">
        <v>0</v>
      </c>
      <c r="I251">
        <v>40</v>
      </c>
      <c r="J251">
        <v>180</v>
      </c>
      <c r="K251">
        <v>1</v>
      </c>
      <c r="L251" t="s">
        <v>28</v>
      </c>
      <c r="M251" t="str">
        <f t="shared" si="9"/>
        <v>Rejected</v>
      </c>
      <c r="N251">
        <f t="shared" si="10"/>
        <v>2925</v>
      </c>
      <c r="O251">
        <f t="shared" si="11"/>
        <v>0</v>
      </c>
    </row>
    <row r="252" spans="1:15" x14ac:dyDescent="0.25">
      <c r="A252" t="s">
        <v>272</v>
      </c>
      <c r="B252" t="s">
        <v>13</v>
      </c>
      <c r="C252" t="s">
        <v>14</v>
      </c>
      <c r="D252" t="s">
        <v>391</v>
      </c>
      <c r="E252" t="s">
        <v>15</v>
      </c>
      <c r="F252" t="s">
        <v>16</v>
      </c>
      <c r="G252">
        <v>3242</v>
      </c>
      <c r="H252">
        <v>437</v>
      </c>
      <c r="I252">
        <v>142</v>
      </c>
      <c r="J252">
        <v>480</v>
      </c>
      <c r="K252">
        <v>0</v>
      </c>
      <c r="L252" t="s">
        <v>17</v>
      </c>
      <c r="M252" t="str">
        <f t="shared" si="9"/>
        <v>Rejected</v>
      </c>
      <c r="N252">
        <f t="shared" si="10"/>
        <v>3679</v>
      </c>
      <c r="O252">
        <f t="shared" si="11"/>
        <v>0</v>
      </c>
    </row>
    <row r="253" spans="1:15" x14ac:dyDescent="0.25">
      <c r="A253" t="s">
        <v>273</v>
      </c>
      <c r="B253" t="s">
        <v>13</v>
      </c>
      <c r="C253" t="s">
        <v>14</v>
      </c>
      <c r="D253" t="s">
        <v>389</v>
      </c>
      <c r="E253" t="s">
        <v>15</v>
      </c>
      <c r="F253" t="s">
        <v>16</v>
      </c>
      <c r="G253">
        <v>3863</v>
      </c>
      <c r="H253">
        <v>0</v>
      </c>
      <c r="I253">
        <v>70</v>
      </c>
      <c r="J253">
        <v>300</v>
      </c>
      <c r="K253">
        <v>1</v>
      </c>
      <c r="L253" t="s">
        <v>26</v>
      </c>
      <c r="M253" t="str">
        <f t="shared" si="9"/>
        <v>Approved</v>
      </c>
      <c r="N253">
        <f t="shared" si="10"/>
        <v>3863</v>
      </c>
      <c r="O253">
        <f t="shared" si="11"/>
        <v>1</v>
      </c>
    </row>
    <row r="254" spans="1:15" x14ac:dyDescent="0.25">
      <c r="A254" t="s">
        <v>274</v>
      </c>
      <c r="B254" t="s">
        <v>25</v>
      </c>
      <c r="C254" t="s">
        <v>16</v>
      </c>
      <c r="D254" t="s">
        <v>34</v>
      </c>
      <c r="E254" t="s">
        <v>15</v>
      </c>
      <c r="F254" t="s">
        <v>16</v>
      </c>
      <c r="G254">
        <v>4028</v>
      </c>
      <c r="H254">
        <v>0</v>
      </c>
      <c r="I254">
        <v>131</v>
      </c>
      <c r="J254">
        <v>360</v>
      </c>
      <c r="K254">
        <v>1</v>
      </c>
      <c r="L254" t="s">
        <v>26</v>
      </c>
      <c r="M254" t="str">
        <f t="shared" si="9"/>
        <v>Approved</v>
      </c>
      <c r="N254">
        <f t="shared" si="10"/>
        <v>4028</v>
      </c>
      <c r="O254">
        <f t="shared" si="11"/>
        <v>1</v>
      </c>
    </row>
    <row r="255" spans="1:15" x14ac:dyDescent="0.25">
      <c r="A255" t="s">
        <v>275</v>
      </c>
      <c r="B255" t="s">
        <v>13</v>
      </c>
      <c r="C255" t="s">
        <v>14</v>
      </c>
      <c r="D255" t="s">
        <v>389</v>
      </c>
      <c r="E255" t="s">
        <v>15</v>
      </c>
      <c r="F255" t="s">
        <v>16</v>
      </c>
      <c r="G255">
        <v>4010</v>
      </c>
      <c r="H255">
        <v>1025</v>
      </c>
      <c r="I255">
        <v>120</v>
      </c>
      <c r="J255">
        <v>360</v>
      </c>
      <c r="K255">
        <v>1</v>
      </c>
      <c r="L255" t="s">
        <v>17</v>
      </c>
      <c r="M255" t="str">
        <f t="shared" si="9"/>
        <v>Approved</v>
      </c>
      <c r="N255">
        <f t="shared" si="10"/>
        <v>5035</v>
      </c>
      <c r="O255">
        <f t="shared" si="11"/>
        <v>1</v>
      </c>
    </row>
    <row r="256" spans="1:15" x14ac:dyDescent="0.25">
      <c r="A256" t="s">
        <v>276</v>
      </c>
      <c r="B256" t="s">
        <v>25</v>
      </c>
      <c r="C256" t="s">
        <v>14</v>
      </c>
      <c r="D256" t="s">
        <v>390</v>
      </c>
      <c r="E256" t="s">
        <v>15</v>
      </c>
      <c r="F256" t="s">
        <v>16</v>
      </c>
      <c r="G256">
        <v>3719</v>
      </c>
      <c r="H256">
        <v>1585</v>
      </c>
      <c r="I256">
        <v>114</v>
      </c>
      <c r="J256">
        <v>360</v>
      </c>
      <c r="K256">
        <v>1</v>
      </c>
      <c r="L256" t="s">
        <v>17</v>
      </c>
      <c r="M256" t="str">
        <f t="shared" si="9"/>
        <v>Approved</v>
      </c>
      <c r="N256">
        <f t="shared" si="10"/>
        <v>5304</v>
      </c>
      <c r="O256">
        <f t="shared" si="11"/>
        <v>1</v>
      </c>
    </row>
    <row r="257" spans="1:15" x14ac:dyDescent="0.25">
      <c r="A257" t="s">
        <v>277</v>
      </c>
      <c r="B257" t="s">
        <v>13</v>
      </c>
      <c r="C257" t="s">
        <v>16</v>
      </c>
      <c r="D257" t="s">
        <v>391</v>
      </c>
      <c r="E257" t="s">
        <v>15</v>
      </c>
      <c r="G257">
        <v>2858</v>
      </c>
      <c r="H257">
        <v>0</v>
      </c>
      <c r="I257">
        <v>123</v>
      </c>
      <c r="J257">
        <v>360</v>
      </c>
      <c r="K257">
        <v>0</v>
      </c>
      <c r="L257" t="s">
        <v>28</v>
      </c>
      <c r="M257" t="str">
        <f t="shared" si="9"/>
        <v>Rejected</v>
      </c>
      <c r="N257">
        <f t="shared" si="10"/>
        <v>2858</v>
      </c>
      <c r="O257">
        <f t="shared" si="11"/>
        <v>0</v>
      </c>
    </row>
    <row r="258" spans="1:15" x14ac:dyDescent="0.25">
      <c r="A258" t="s">
        <v>278</v>
      </c>
      <c r="B258" t="s">
        <v>25</v>
      </c>
      <c r="C258" t="s">
        <v>14</v>
      </c>
      <c r="D258" t="s">
        <v>389</v>
      </c>
      <c r="E258" t="s">
        <v>15</v>
      </c>
      <c r="F258" t="s">
        <v>16</v>
      </c>
      <c r="G258">
        <v>3833</v>
      </c>
      <c r="H258">
        <v>0</v>
      </c>
      <c r="I258">
        <v>92</v>
      </c>
      <c r="J258">
        <v>360</v>
      </c>
      <c r="K258">
        <v>1</v>
      </c>
      <c r="L258" t="s">
        <v>28</v>
      </c>
      <c r="M258" t="str">
        <f t="shared" si="9"/>
        <v>Approved</v>
      </c>
      <c r="N258">
        <f t="shared" si="10"/>
        <v>3833</v>
      </c>
      <c r="O258">
        <f t="shared" si="11"/>
        <v>1</v>
      </c>
    </row>
    <row r="259" spans="1:15" x14ac:dyDescent="0.25">
      <c r="A259" t="s">
        <v>279</v>
      </c>
      <c r="B259" t="s">
        <v>13</v>
      </c>
      <c r="C259" t="s">
        <v>14</v>
      </c>
      <c r="D259" t="s">
        <v>34</v>
      </c>
      <c r="E259" t="s">
        <v>15</v>
      </c>
      <c r="F259" t="s">
        <v>16</v>
      </c>
      <c r="G259">
        <v>3333</v>
      </c>
      <c r="H259">
        <v>4288</v>
      </c>
      <c r="I259">
        <v>160</v>
      </c>
      <c r="J259">
        <v>360</v>
      </c>
      <c r="K259">
        <v>1</v>
      </c>
      <c r="L259" t="s">
        <v>17</v>
      </c>
      <c r="M259" t="str">
        <f t="shared" ref="M259:M322" si="12">IF(AND(K259=1,G259&gt;3000,I259&lt;200),"Approved","Rejected")</f>
        <v>Approved</v>
      </c>
      <c r="N259">
        <f t="shared" ref="N259:N322" si="13">G259+H259</f>
        <v>7621</v>
      </c>
      <c r="O259">
        <f t="shared" ref="O259:O322" si="14">IF(M259="Approved",1,0)</f>
        <v>1</v>
      </c>
    </row>
    <row r="260" spans="1:15" x14ac:dyDescent="0.25">
      <c r="A260" t="s">
        <v>280</v>
      </c>
      <c r="B260" t="s">
        <v>13</v>
      </c>
      <c r="C260" t="s">
        <v>14</v>
      </c>
      <c r="D260" t="s">
        <v>389</v>
      </c>
      <c r="E260" t="s">
        <v>15</v>
      </c>
      <c r="F260" t="s">
        <v>16</v>
      </c>
      <c r="G260">
        <v>3007</v>
      </c>
      <c r="H260">
        <v>3725</v>
      </c>
      <c r="I260">
        <v>151</v>
      </c>
      <c r="J260">
        <v>360</v>
      </c>
      <c r="K260">
        <v>1</v>
      </c>
      <c r="L260" t="s">
        <v>28</v>
      </c>
      <c r="M260" t="str">
        <f t="shared" si="12"/>
        <v>Approved</v>
      </c>
      <c r="N260">
        <f t="shared" si="13"/>
        <v>6732</v>
      </c>
      <c r="O260">
        <f t="shared" si="14"/>
        <v>1</v>
      </c>
    </row>
    <row r="261" spans="1:15" x14ac:dyDescent="0.25">
      <c r="A261" t="s">
        <v>281</v>
      </c>
      <c r="B261" t="s">
        <v>25</v>
      </c>
      <c r="C261" t="s">
        <v>16</v>
      </c>
      <c r="D261" t="s">
        <v>389</v>
      </c>
      <c r="E261" t="s">
        <v>15</v>
      </c>
      <c r="G261">
        <v>1850</v>
      </c>
      <c r="H261">
        <v>4583</v>
      </c>
      <c r="I261">
        <v>81</v>
      </c>
      <c r="J261">
        <v>360</v>
      </c>
      <c r="L261" t="s">
        <v>28</v>
      </c>
      <c r="M261" t="str">
        <f t="shared" si="12"/>
        <v>Rejected</v>
      </c>
      <c r="N261">
        <f t="shared" si="13"/>
        <v>6433</v>
      </c>
      <c r="O261">
        <f t="shared" si="14"/>
        <v>0</v>
      </c>
    </row>
    <row r="262" spans="1:15" x14ac:dyDescent="0.25">
      <c r="A262" t="s">
        <v>282</v>
      </c>
      <c r="B262" t="s">
        <v>13</v>
      </c>
      <c r="C262" t="s">
        <v>14</v>
      </c>
      <c r="D262" t="s">
        <v>34</v>
      </c>
      <c r="E262" t="s">
        <v>22</v>
      </c>
      <c r="F262" t="s">
        <v>16</v>
      </c>
      <c r="G262">
        <v>2792</v>
      </c>
      <c r="H262">
        <v>2619</v>
      </c>
      <c r="I262">
        <v>171</v>
      </c>
      <c r="J262">
        <v>360</v>
      </c>
      <c r="K262">
        <v>1</v>
      </c>
      <c r="L262" t="s">
        <v>26</v>
      </c>
      <c r="M262" t="str">
        <f t="shared" si="12"/>
        <v>Rejected</v>
      </c>
      <c r="N262">
        <f t="shared" si="13"/>
        <v>5411</v>
      </c>
      <c r="O262">
        <f t="shared" si="14"/>
        <v>0</v>
      </c>
    </row>
    <row r="263" spans="1:15" x14ac:dyDescent="0.25">
      <c r="A263" t="s">
        <v>283</v>
      </c>
      <c r="B263" t="s">
        <v>13</v>
      </c>
      <c r="C263" t="s">
        <v>14</v>
      </c>
      <c r="D263" t="s">
        <v>389</v>
      </c>
      <c r="E263" t="s">
        <v>15</v>
      </c>
      <c r="F263" t="s">
        <v>16</v>
      </c>
      <c r="G263">
        <v>2982</v>
      </c>
      <c r="H263">
        <v>1550</v>
      </c>
      <c r="I263">
        <v>110</v>
      </c>
      <c r="J263">
        <v>360</v>
      </c>
      <c r="K263">
        <v>1</v>
      </c>
      <c r="L263" t="s">
        <v>26</v>
      </c>
      <c r="M263" t="str">
        <f t="shared" si="12"/>
        <v>Rejected</v>
      </c>
      <c r="N263">
        <f t="shared" si="13"/>
        <v>4532</v>
      </c>
      <c r="O263">
        <f t="shared" si="14"/>
        <v>0</v>
      </c>
    </row>
    <row r="264" spans="1:15" x14ac:dyDescent="0.25">
      <c r="A264" t="s">
        <v>284</v>
      </c>
      <c r="B264" t="s">
        <v>13</v>
      </c>
      <c r="C264" t="s">
        <v>16</v>
      </c>
      <c r="D264" t="s">
        <v>389</v>
      </c>
      <c r="E264" t="s">
        <v>15</v>
      </c>
      <c r="F264" t="s">
        <v>16</v>
      </c>
      <c r="G264">
        <v>3417</v>
      </c>
      <c r="H264">
        <v>738</v>
      </c>
      <c r="I264">
        <v>100</v>
      </c>
      <c r="J264">
        <v>360</v>
      </c>
      <c r="L264" t="s">
        <v>28</v>
      </c>
      <c r="M264" t="str">
        <f t="shared" si="12"/>
        <v>Rejected</v>
      </c>
      <c r="N264">
        <f t="shared" si="13"/>
        <v>4155</v>
      </c>
      <c r="O264">
        <f t="shared" si="14"/>
        <v>0</v>
      </c>
    </row>
    <row r="265" spans="1:15" x14ac:dyDescent="0.25">
      <c r="A265" t="s">
        <v>285</v>
      </c>
      <c r="B265" t="s">
        <v>13</v>
      </c>
      <c r="C265" t="s">
        <v>14</v>
      </c>
      <c r="D265" t="s">
        <v>389</v>
      </c>
      <c r="E265" t="s">
        <v>15</v>
      </c>
      <c r="F265" t="s">
        <v>16</v>
      </c>
      <c r="G265">
        <v>18840</v>
      </c>
      <c r="H265">
        <v>0</v>
      </c>
      <c r="I265">
        <v>234</v>
      </c>
      <c r="J265">
        <v>360</v>
      </c>
      <c r="K265">
        <v>1</v>
      </c>
      <c r="L265" t="s">
        <v>28</v>
      </c>
      <c r="M265" t="str">
        <f t="shared" si="12"/>
        <v>Rejected</v>
      </c>
      <c r="N265">
        <f t="shared" si="13"/>
        <v>18840</v>
      </c>
      <c r="O265">
        <f t="shared" si="14"/>
        <v>0</v>
      </c>
    </row>
    <row r="266" spans="1:15" x14ac:dyDescent="0.25">
      <c r="A266" t="s">
        <v>286</v>
      </c>
      <c r="B266" t="s">
        <v>13</v>
      </c>
      <c r="C266" t="s">
        <v>14</v>
      </c>
      <c r="D266" t="s">
        <v>389</v>
      </c>
      <c r="E266" t="s">
        <v>15</v>
      </c>
      <c r="F266" t="s">
        <v>16</v>
      </c>
      <c r="G266">
        <v>2995</v>
      </c>
      <c r="H266">
        <v>1120</v>
      </c>
      <c r="I266">
        <v>184</v>
      </c>
      <c r="J266">
        <v>360</v>
      </c>
      <c r="K266">
        <v>1</v>
      </c>
      <c r="L266" t="s">
        <v>28</v>
      </c>
      <c r="M266" t="str">
        <f t="shared" si="12"/>
        <v>Rejected</v>
      </c>
      <c r="N266">
        <f t="shared" si="13"/>
        <v>4115</v>
      </c>
      <c r="O266">
        <f t="shared" si="14"/>
        <v>0</v>
      </c>
    </row>
    <row r="267" spans="1:15" x14ac:dyDescent="0.25">
      <c r="A267" t="s">
        <v>287</v>
      </c>
      <c r="B267" t="s">
        <v>13</v>
      </c>
      <c r="C267" t="s">
        <v>16</v>
      </c>
      <c r="D267" t="s">
        <v>389</v>
      </c>
      <c r="E267" t="s">
        <v>15</v>
      </c>
      <c r="F267" t="s">
        <v>16</v>
      </c>
      <c r="G267">
        <v>3579</v>
      </c>
      <c r="H267">
        <v>3308</v>
      </c>
      <c r="I267">
        <v>138</v>
      </c>
      <c r="J267">
        <v>360</v>
      </c>
      <c r="L267" t="s">
        <v>26</v>
      </c>
      <c r="M267" t="str">
        <f t="shared" si="12"/>
        <v>Rejected</v>
      </c>
      <c r="N267">
        <f t="shared" si="13"/>
        <v>6887</v>
      </c>
      <c r="O267">
        <f t="shared" si="14"/>
        <v>0</v>
      </c>
    </row>
    <row r="268" spans="1:15" x14ac:dyDescent="0.25">
      <c r="A268" t="s">
        <v>288</v>
      </c>
      <c r="B268" t="s">
        <v>25</v>
      </c>
      <c r="C268" t="s">
        <v>14</v>
      </c>
      <c r="D268" t="s">
        <v>391</v>
      </c>
      <c r="E268" t="s">
        <v>22</v>
      </c>
      <c r="F268" t="s">
        <v>16</v>
      </c>
      <c r="G268">
        <v>3835</v>
      </c>
      <c r="H268">
        <v>1400</v>
      </c>
      <c r="I268">
        <v>112</v>
      </c>
      <c r="J268">
        <v>480</v>
      </c>
      <c r="K268">
        <v>0</v>
      </c>
      <c r="L268" t="s">
        <v>17</v>
      </c>
      <c r="M268" t="str">
        <f t="shared" si="12"/>
        <v>Rejected</v>
      </c>
      <c r="N268">
        <f t="shared" si="13"/>
        <v>5235</v>
      </c>
      <c r="O268">
        <f t="shared" si="14"/>
        <v>0</v>
      </c>
    </row>
    <row r="269" spans="1:15" x14ac:dyDescent="0.25">
      <c r="A269" t="s">
        <v>289</v>
      </c>
      <c r="B269" t="s">
        <v>25</v>
      </c>
      <c r="C269" t="s">
        <v>16</v>
      </c>
      <c r="D269" t="s">
        <v>390</v>
      </c>
      <c r="E269" t="s">
        <v>22</v>
      </c>
      <c r="F269" t="s">
        <v>16</v>
      </c>
      <c r="G269">
        <v>3854</v>
      </c>
      <c r="H269">
        <v>3575</v>
      </c>
      <c r="I269">
        <v>117</v>
      </c>
      <c r="J269">
        <v>360</v>
      </c>
      <c r="K269">
        <v>1</v>
      </c>
      <c r="L269" t="s">
        <v>28</v>
      </c>
      <c r="M269" t="str">
        <f t="shared" si="12"/>
        <v>Approved</v>
      </c>
      <c r="N269">
        <f t="shared" si="13"/>
        <v>7429</v>
      </c>
      <c r="O269">
        <f t="shared" si="14"/>
        <v>1</v>
      </c>
    </row>
    <row r="270" spans="1:15" x14ac:dyDescent="0.25">
      <c r="A270" t="s">
        <v>290</v>
      </c>
      <c r="B270" t="s">
        <v>13</v>
      </c>
      <c r="C270" t="s">
        <v>14</v>
      </c>
      <c r="D270" t="s">
        <v>389</v>
      </c>
      <c r="E270" t="s">
        <v>15</v>
      </c>
      <c r="F270" t="s">
        <v>16</v>
      </c>
      <c r="G270">
        <v>5833</v>
      </c>
      <c r="H270">
        <v>750</v>
      </c>
      <c r="I270">
        <v>49</v>
      </c>
      <c r="J270">
        <v>360</v>
      </c>
      <c r="K270">
        <v>0</v>
      </c>
      <c r="L270" t="s">
        <v>28</v>
      </c>
      <c r="M270" t="str">
        <f t="shared" si="12"/>
        <v>Rejected</v>
      </c>
      <c r="N270">
        <f t="shared" si="13"/>
        <v>6583</v>
      </c>
      <c r="O270">
        <f t="shared" si="14"/>
        <v>0</v>
      </c>
    </row>
    <row r="271" spans="1:15" x14ac:dyDescent="0.25">
      <c r="A271" t="s">
        <v>291</v>
      </c>
      <c r="B271" t="s">
        <v>13</v>
      </c>
      <c r="C271" t="s">
        <v>16</v>
      </c>
      <c r="D271" t="s">
        <v>389</v>
      </c>
      <c r="E271" t="s">
        <v>15</v>
      </c>
      <c r="F271" t="s">
        <v>16</v>
      </c>
      <c r="G271">
        <v>3508</v>
      </c>
      <c r="H271">
        <v>0</v>
      </c>
      <c r="I271">
        <v>99</v>
      </c>
      <c r="J271">
        <v>360</v>
      </c>
      <c r="K271">
        <v>1</v>
      </c>
      <c r="L271" t="s">
        <v>28</v>
      </c>
      <c r="M271" t="str">
        <f t="shared" si="12"/>
        <v>Approved</v>
      </c>
      <c r="N271">
        <f t="shared" si="13"/>
        <v>3508</v>
      </c>
      <c r="O271">
        <f t="shared" si="14"/>
        <v>1</v>
      </c>
    </row>
    <row r="272" spans="1:15" x14ac:dyDescent="0.25">
      <c r="A272" t="s">
        <v>292</v>
      </c>
      <c r="B272" t="s">
        <v>25</v>
      </c>
      <c r="C272" t="s">
        <v>14</v>
      </c>
      <c r="D272" t="s">
        <v>389</v>
      </c>
      <c r="E272" t="s">
        <v>22</v>
      </c>
      <c r="F272" t="s">
        <v>16</v>
      </c>
      <c r="G272">
        <v>1635</v>
      </c>
      <c r="H272">
        <v>2444</v>
      </c>
      <c r="I272">
        <v>99</v>
      </c>
      <c r="J272">
        <v>360</v>
      </c>
      <c r="K272">
        <v>1</v>
      </c>
      <c r="L272" t="s">
        <v>17</v>
      </c>
      <c r="M272" t="str">
        <f t="shared" si="12"/>
        <v>Rejected</v>
      </c>
      <c r="N272">
        <f t="shared" si="13"/>
        <v>4079</v>
      </c>
      <c r="O272">
        <f t="shared" si="14"/>
        <v>0</v>
      </c>
    </row>
    <row r="273" spans="1:15" x14ac:dyDescent="0.25">
      <c r="A273" t="s">
        <v>293</v>
      </c>
      <c r="B273" t="s">
        <v>25</v>
      </c>
      <c r="C273" t="s">
        <v>16</v>
      </c>
      <c r="D273" t="s">
        <v>390</v>
      </c>
      <c r="E273" t="s">
        <v>15</v>
      </c>
      <c r="F273" t="s">
        <v>14</v>
      </c>
      <c r="G273">
        <v>3333</v>
      </c>
      <c r="H273">
        <v>3916</v>
      </c>
      <c r="I273">
        <v>212</v>
      </c>
      <c r="J273">
        <v>360</v>
      </c>
      <c r="K273">
        <v>1</v>
      </c>
      <c r="L273" t="s">
        <v>28</v>
      </c>
      <c r="M273" t="str">
        <f t="shared" si="12"/>
        <v>Rejected</v>
      </c>
      <c r="N273">
        <f t="shared" si="13"/>
        <v>7249</v>
      </c>
      <c r="O273">
        <f t="shared" si="14"/>
        <v>0</v>
      </c>
    </row>
    <row r="274" spans="1:15" x14ac:dyDescent="0.25">
      <c r="A274" t="s">
        <v>294</v>
      </c>
      <c r="B274" t="s">
        <v>13</v>
      </c>
      <c r="C274" t="s">
        <v>16</v>
      </c>
      <c r="D274" t="s">
        <v>389</v>
      </c>
      <c r="E274" t="s">
        <v>15</v>
      </c>
      <c r="F274" t="s">
        <v>16</v>
      </c>
      <c r="G274">
        <v>24797</v>
      </c>
      <c r="H274">
        <v>0</v>
      </c>
      <c r="I274">
        <v>240</v>
      </c>
      <c r="J274">
        <v>360</v>
      </c>
      <c r="K274">
        <v>1</v>
      </c>
      <c r="L274" t="s">
        <v>26</v>
      </c>
      <c r="M274" t="str">
        <f t="shared" si="12"/>
        <v>Rejected</v>
      </c>
      <c r="N274">
        <f t="shared" si="13"/>
        <v>24797</v>
      </c>
      <c r="O274">
        <f t="shared" si="14"/>
        <v>0</v>
      </c>
    </row>
    <row r="275" spans="1:15" x14ac:dyDescent="0.25">
      <c r="A275" t="s">
        <v>295</v>
      </c>
      <c r="B275" t="s">
        <v>13</v>
      </c>
      <c r="C275" t="s">
        <v>14</v>
      </c>
      <c r="D275" t="s">
        <v>391</v>
      </c>
      <c r="E275" t="s">
        <v>15</v>
      </c>
      <c r="F275" t="s">
        <v>16</v>
      </c>
      <c r="G275">
        <v>5667</v>
      </c>
      <c r="H275">
        <v>440</v>
      </c>
      <c r="I275">
        <v>130</v>
      </c>
      <c r="J275">
        <v>360</v>
      </c>
      <c r="K275">
        <v>0</v>
      </c>
      <c r="L275" t="s">
        <v>26</v>
      </c>
      <c r="M275" t="str">
        <f t="shared" si="12"/>
        <v>Rejected</v>
      </c>
      <c r="N275">
        <f t="shared" si="13"/>
        <v>6107</v>
      </c>
      <c r="O275">
        <f t="shared" si="14"/>
        <v>0</v>
      </c>
    </row>
    <row r="276" spans="1:15" x14ac:dyDescent="0.25">
      <c r="A276" t="s">
        <v>296</v>
      </c>
      <c r="B276" t="s">
        <v>25</v>
      </c>
      <c r="C276" t="s">
        <v>16</v>
      </c>
      <c r="D276" t="s">
        <v>389</v>
      </c>
      <c r="E276" t="s">
        <v>15</v>
      </c>
      <c r="F276" t="s">
        <v>16</v>
      </c>
      <c r="G276">
        <v>3500</v>
      </c>
      <c r="H276">
        <v>0</v>
      </c>
      <c r="I276">
        <v>94</v>
      </c>
      <c r="J276">
        <v>360</v>
      </c>
      <c r="K276">
        <v>0</v>
      </c>
      <c r="L276" t="s">
        <v>26</v>
      </c>
      <c r="M276" t="str">
        <f t="shared" si="12"/>
        <v>Rejected</v>
      </c>
      <c r="N276">
        <f t="shared" si="13"/>
        <v>3500</v>
      </c>
      <c r="O276">
        <f t="shared" si="14"/>
        <v>0</v>
      </c>
    </row>
    <row r="277" spans="1:15" x14ac:dyDescent="0.25">
      <c r="A277" t="s">
        <v>297</v>
      </c>
      <c r="B277" t="s">
        <v>13</v>
      </c>
      <c r="C277" t="s">
        <v>14</v>
      </c>
      <c r="D277" t="s">
        <v>389</v>
      </c>
      <c r="E277" t="s">
        <v>15</v>
      </c>
      <c r="F277" t="s">
        <v>16</v>
      </c>
      <c r="G277">
        <v>2773</v>
      </c>
      <c r="H277">
        <v>1497</v>
      </c>
      <c r="I277">
        <v>108</v>
      </c>
      <c r="J277">
        <v>360</v>
      </c>
      <c r="K277">
        <v>1</v>
      </c>
      <c r="L277" t="s">
        <v>26</v>
      </c>
      <c r="M277" t="str">
        <f t="shared" si="12"/>
        <v>Rejected</v>
      </c>
      <c r="N277">
        <f t="shared" si="13"/>
        <v>4270</v>
      </c>
      <c r="O277">
        <f t="shared" si="14"/>
        <v>0</v>
      </c>
    </row>
    <row r="278" spans="1:15" x14ac:dyDescent="0.25">
      <c r="A278" t="s">
        <v>298</v>
      </c>
      <c r="B278" t="s">
        <v>13</v>
      </c>
      <c r="C278" t="s">
        <v>14</v>
      </c>
      <c r="D278" t="s">
        <v>390</v>
      </c>
      <c r="E278" t="s">
        <v>15</v>
      </c>
      <c r="G278">
        <v>6500</v>
      </c>
      <c r="H278">
        <v>0</v>
      </c>
      <c r="I278">
        <v>144</v>
      </c>
      <c r="J278">
        <v>360</v>
      </c>
      <c r="K278">
        <v>1</v>
      </c>
      <c r="L278" t="s">
        <v>17</v>
      </c>
      <c r="M278" t="str">
        <f t="shared" si="12"/>
        <v>Approved</v>
      </c>
      <c r="N278">
        <f t="shared" si="13"/>
        <v>6500</v>
      </c>
      <c r="O278">
        <f t="shared" si="14"/>
        <v>1</v>
      </c>
    </row>
    <row r="279" spans="1:15" x14ac:dyDescent="0.25">
      <c r="A279" t="s">
        <v>299</v>
      </c>
      <c r="B279" t="s">
        <v>25</v>
      </c>
      <c r="C279" t="s">
        <v>16</v>
      </c>
      <c r="D279" t="s">
        <v>389</v>
      </c>
      <c r="E279" t="s">
        <v>15</v>
      </c>
      <c r="F279" t="s">
        <v>16</v>
      </c>
      <c r="G279">
        <v>5769</v>
      </c>
      <c r="H279">
        <v>0</v>
      </c>
      <c r="I279">
        <v>110</v>
      </c>
      <c r="J279">
        <v>180</v>
      </c>
      <c r="K279">
        <v>1</v>
      </c>
      <c r="L279" t="s">
        <v>26</v>
      </c>
      <c r="M279" t="str">
        <f t="shared" si="12"/>
        <v>Approved</v>
      </c>
      <c r="N279">
        <f t="shared" si="13"/>
        <v>5769</v>
      </c>
      <c r="O279">
        <f t="shared" si="14"/>
        <v>1</v>
      </c>
    </row>
    <row r="280" spans="1:15" x14ac:dyDescent="0.25">
      <c r="A280" t="s">
        <v>300</v>
      </c>
      <c r="B280" t="s">
        <v>13</v>
      </c>
      <c r="C280" t="s">
        <v>14</v>
      </c>
      <c r="D280" t="s">
        <v>389</v>
      </c>
      <c r="E280" t="s">
        <v>22</v>
      </c>
      <c r="G280">
        <v>3634</v>
      </c>
      <c r="H280">
        <v>910</v>
      </c>
      <c r="I280">
        <v>176</v>
      </c>
      <c r="J280">
        <v>360</v>
      </c>
      <c r="K280">
        <v>0</v>
      </c>
      <c r="L280" t="s">
        <v>26</v>
      </c>
      <c r="M280" t="str">
        <f t="shared" si="12"/>
        <v>Rejected</v>
      </c>
      <c r="N280">
        <f t="shared" si="13"/>
        <v>4544</v>
      </c>
      <c r="O280">
        <f t="shared" si="14"/>
        <v>0</v>
      </c>
    </row>
    <row r="281" spans="1:15" x14ac:dyDescent="0.25">
      <c r="A281" t="s">
        <v>301</v>
      </c>
      <c r="C281" t="s">
        <v>16</v>
      </c>
      <c r="D281" t="s">
        <v>389</v>
      </c>
      <c r="E281" t="s">
        <v>15</v>
      </c>
      <c r="F281" t="s">
        <v>16</v>
      </c>
      <c r="G281">
        <v>29167</v>
      </c>
      <c r="H281">
        <v>0</v>
      </c>
      <c r="I281">
        <v>185</v>
      </c>
      <c r="J281">
        <v>360</v>
      </c>
      <c r="K281">
        <v>1</v>
      </c>
      <c r="L281" t="s">
        <v>26</v>
      </c>
      <c r="M281" t="str">
        <f t="shared" si="12"/>
        <v>Approved</v>
      </c>
      <c r="N281">
        <f t="shared" si="13"/>
        <v>29167</v>
      </c>
      <c r="O281">
        <f t="shared" si="14"/>
        <v>1</v>
      </c>
    </row>
    <row r="282" spans="1:15" x14ac:dyDescent="0.25">
      <c r="A282" t="s">
        <v>302</v>
      </c>
      <c r="B282" t="s">
        <v>13</v>
      </c>
      <c r="C282" t="s">
        <v>16</v>
      </c>
      <c r="D282" t="s">
        <v>391</v>
      </c>
      <c r="E282" t="s">
        <v>15</v>
      </c>
      <c r="F282" t="s">
        <v>16</v>
      </c>
      <c r="G282">
        <v>2166</v>
      </c>
      <c r="H282">
        <v>2057</v>
      </c>
      <c r="I282">
        <v>122</v>
      </c>
      <c r="J282">
        <v>360</v>
      </c>
      <c r="K282">
        <v>1</v>
      </c>
      <c r="L282" t="s">
        <v>26</v>
      </c>
      <c r="M282" t="str">
        <f t="shared" si="12"/>
        <v>Rejected</v>
      </c>
      <c r="N282">
        <f t="shared" si="13"/>
        <v>4223</v>
      </c>
      <c r="O282">
        <f t="shared" si="14"/>
        <v>0</v>
      </c>
    </row>
    <row r="283" spans="1:15" x14ac:dyDescent="0.25">
      <c r="A283" t="s">
        <v>303</v>
      </c>
      <c r="B283" t="s">
        <v>13</v>
      </c>
      <c r="C283" t="s">
        <v>14</v>
      </c>
      <c r="D283" t="s">
        <v>391</v>
      </c>
      <c r="E283" t="s">
        <v>15</v>
      </c>
      <c r="F283" t="s">
        <v>16</v>
      </c>
      <c r="G283">
        <v>5000</v>
      </c>
      <c r="H283">
        <v>0</v>
      </c>
      <c r="I283">
        <v>126</v>
      </c>
      <c r="J283">
        <v>360</v>
      </c>
      <c r="K283">
        <v>1</v>
      </c>
      <c r="L283" t="s">
        <v>28</v>
      </c>
      <c r="M283" t="str">
        <f t="shared" si="12"/>
        <v>Approved</v>
      </c>
      <c r="N283">
        <f t="shared" si="13"/>
        <v>5000</v>
      </c>
      <c r="O283">
        <f t="shared" si="14"/>
        <v>1</v>
      </c>
    </row>
    <row r="284" spans="1:15" x14ac:dyDescent="0.25">
      <c r="A284" t="s">
        <v>304</v>
      </c>
      <c r="B284" t="s">
        <v>25</v>
      </c>
      <c r="C284" t="s">
        <v>16</v>
      </c>
      <c r="D284" t="s">
        <v>390</v>
      </c>
      <c r="E284" t="s">
        <v>15</v>
      </c>
      <c r="F284" t="s">
        <v>16</v>
      </c>
      <c r="G284">
        <v>5530</v>
      </c>
      <c r="H284">
        <v>0</v>
      </c>
      <c r="I284">
        <v>135</v>
      </c>
      <c r="J284">
        <v>360</v>
      </c>
      <c r="L284" t="s">
        <v>17</v>
      </c>
      <c r="M284" t="str">
        <f t="shared" si="12"/>
        <v>Rejected</v>
      </c>
      <c r="N284">
        <f t="shared" si="13"/>
        <v>5530</v>
      </c>
      <c r="O284">
        <f t="shared" si="14"/>
        <v>0</v>
      </c>
    </row>
    <row r="285" spans="1:15" x14ac:dyDescent="0.25">
      <c r="A285" t="s">
        <v>305</v>
      </c>
      <c r="B285" t="s">
        <v>13</v>
      </c>
      <c r="C285" t="s">
        <v>16</v>
      </c>
      <c r="D285" t="s">
        <v>390</v>
      </c>
      <c r="E285" t="s">
        <v>22</v>
      </c>
      <c r="F285" t="s">
        <v>16</v>
      </c>
      <c r="G285">
        <v>9000</v>
      </c>
      <c r="H285">
        <v>0</v>
      </c>
      <c r="I285">
        <v>122</v>
      </c>
      <c r="J285">
        <v>360</v>
      </c>
      <c r="K285">
        <v>1</v>
      </c>
      <c r="L285" t="s">
        <v>28</v>
      </c>
      <c r="M285" t="str">
        <f t="shared" si="12"/>
        <v>Approved</v>
      </c>
      <c r="N285">
        <f t="shared" si="13"/>
        <v>9000</v>
      </c>
      <c r="O285">
        <f t="shared" si="14"/>
        <v>1</v>
      </c>
    </row>
    <row r="286" spans="1:15" x14ac:dyDescent="0.25">
      <c r="A286" t="s">
        <v>306</v>
      </c>
      <c r="B286" t="s">
        <v>25</v>
      </c>
      <c r="C286" t="s">
        <v>14</v>
      </c>
      <c r="D286" t="s">
        <v>392</v>
      </c>
      <c r="E286" t="s">
        <v>15</v>
      </c>
      <c r="F286" t="s">
        <v>16</v>
      </c>
      <c r="G286">
        <v>10000</v>
      </c>
      <c r="H286">
        <v>11666</v>
      </c>
      <c r="I286">
        <v>460</v>
      </c>
      <c r="J286">
        <v>360</v>
      </c>
      <c r="K286">
        <v>1</v>
      </c>
      <c r="L286" t="s">
        <v>17</v>
      </c>
      <c r="M286" t="str">
        <f t="shared" si="12"/>
        <v>Rejected</v>
      </c>
      <c r="N286">
        <f t="shared" si="13"/>
        <v>21666</v>
      </c>
      <c r="O286">
        <f t="shared" si="14"/>
        <v>0</v>
      </c>
    </row>
    <row r="287" spans="1:15" x14ac:dyDescent="0.25">
      <c r="A287" t="s">
        <v>307</v>
      </c>
      <c r="B287" t="s">
        <v>13</v>
      </c>
      <c r="C287" t="s">
        <v>14</v>
      </c>
      <c r="D287" t="s">
        <v>390</v>
      </c>
      <c r="E287" t="s">
        <v>15</v>
      </c>
      <c r="G287">
        <v>8750</v>
      </c>
      <c r="H287">
        <v>0</v>
      </c>
      <c r="I287">
        <v>297</v>
      </c>
      <c r="J287">
        <v>360</v>
      </c>
      <c r="K287">
        <v>1</v>
      </c>
      <c r="L287" t="s">
        <v>17</v>
      </c>
      <c r="M287" t="str">
        <f t="shared" si="12"/>
        <v>Rejected</v>
      </c>
      <c r="N287">
        <f t="shared" si="13"/>
        <v>8750</v>
      </c>
      <c r="O287">
        <f t="shared" si="14"/>
        <v>0</v>
      </c>
    </row>
    <row r="288" spans="1:15" x14ac:dyDescent="0.25">
      <c r="A288" t="s">
        <v>308</v>
      </c>
      <c r="B288" t="s">
        <v>13</v>
      </c>
      <c r="C288" t="s">
        <v>14</v>
      </c>
      <c r="D288" t="s">
        <v>389</v>
      </c>
      <c r="E288" t="s">
        <v>22</v>
      </c>
      <c r="F288" t="s">
        <v>16</v>
      </c>
      <c r="G288">
        <v>2157</v>
      </c>
      <c r="H288">
        <v>2730</v>
      </c>
      <c r="I288">
        <v>140</v>
      </c>
      <c r="J288">
        <v>360</v>
      </c>
      <c r="L288" t="s">
        <v>28</v>
      </c>
      <c r="M288" t="str">
        <f t="shared" si="12"/>
        <v>Rejected</v>
      </c>
      <c r="N288">
        <f t="shared" si="13"/>
        <v>4887</v>
      </c>
      <c r="O288">
        <f t="shared" si="14"/>
        <v>0</v>
      </c>
    </row>
    <row r="289" spans="1:15" x14ac:dyDescent="0.25">
      <c r="A289" t="s">
        <v>309</v>
      </c>
      <c r="B289" t="s">
        <v>13</v>
      </c>
      <c r="C289" t="s">
        <v>16</v>
      </c>
      <c r="D289" t="s">
        <v>391</v>
      </c>
      <c r="E289" t="s">
        <v>15</v>
      </c>
      <c r="G289">
        <v>1972</v>
      </c>
      <c r="H289">
        <v>4347</v>
      </c>
      <c r="I289">
        <v>106</v>
      </c>
      <c r="J289">
        <v>360</v>
      </c>
      <c r="K289">
        <v>1</v>
      </c>
      <c r="L289" t="s">
        <v>28</v>
      </c>
      <c r="M289" t="str">
        <f t="shared" si="12"/>
        <v>Rejected</v>
      </c>
      <c r="N289">
        <f t="shared" si="13"/>
        <v>6319</v>
      </c>
      <c r="O289">
        <f t="shared" si="14"/>
        <v>0</v>
      </c>
    </row>
    <row r="290" spans="1:15" x14ac:dyDescent="0.25">
      <c r="A290" t="s">
        <v>310</v>
      </c>
      <c r="B290" t="s">
        <v>13</v>
      </c>
      <c r="C290" t="s">
        <v>16</v>
      </c>
      <c r="D290" t="s">
        <v>391</v>
      </c>
      <c r="E290" t="s">
        <v>15</v>
      </c>
      <c r="F290" t="s">
        <v>16</v>
      </c>
      <c r="G290">
        <v>4983</v>
      </c>
      <c r="H290">
        <v>0</v>
      </c>
      <c r="I290">
        <v>141</v>
      </c>
      <c r="J290">
        <v>360</v>
      </c>
      <c r="K290">
        <v>1</v>
      </c>
      <c r="L290" t="s">
        <v>17</v>
      </c>
      <c r="M290" t="str">
        <f t="shared" si="12"/>
        <v>Approved</v>
      </c>
      <c r="N290">
        <f t="shared" si="13"/>
        <v>4983</v>
      </c>
      <c r="O290">
        <f t="shared" si="14"/>
        <v>1</v>
      </c>
    </row>
    <row r="291" spans="1:15" x14ac:dyDescent="0.25">
      <c r="A291" t="s">
        <v>311</v>
      </c>
      <c r="B291" t="s">
        <v>13</v>
      </c>
      <c r="C291" t="s">
        <v>14</v>
      </c>
      <c r="D291" t="s">
        <v>391</v>
      </c>
      <c r="E291" t="s">
        <v>15</v>
      </c>
      <c r="F291" t="s">
        <v>16</v>
      </c>
      <c r="G291">
        <v>8333</v>
      </c>
      <c r="H291">
        <v>4000</v>
      </c>
      <c r="J291">
        <v>360</v>
      </c>
      <c r="K291">
        <v>1</v>
      </c>
      <c r="L291" t="s">
        <v>17</v>
      </c>
      <c r="M291" t="str">
        <f t="shared" si="12"/>
        <v>Approved</v>
      </c>
      <c r="N291">
        <f t="shared" si="13"/>
        <v>12333</v>
      </c>
      <c r="O291">
        <f t="shared" si="14"/>
        <v>1</v>
      </c>
    </row>
    <row r="292" spans="1:15" x14ac:dyDescent="0.25">
      <c r="A292" t="s">
        <v>312</v>
      </c>
      <c r="B292" t="s">
        <v>13</v>
      </c>
      <c r="C292" t="s">
        <v>14</v>
      </c>
      <c r="D292" t="s">
        <v>390</v>
      </c>
      <c r="E292" t="s">
        <v>15</v>
      </c>
      <c r="F292" t="s">
        <v>16</v>
      </c>
      <c r="G292">
        <v>3667</v>
      </c>
      <c r="H292">
        <v>2000</v>
      </c>
      <c r="I292">
        <v>170</v>
      </c>
      <c r="J292">
        <v>360</v>
      </c>
      <c r="K292">
        <v>1</v>
      </c>
      <c r="L292" t="s">
        <v>26</v>
      </c>
      <c r="M292" t="str">
        <f t="shared" si="12"/>
        <v>Approved</v>
      </c>
      <c r="N292">
        <f t="shared" si="13"/>
        <v>5667</v>
      </c>
      <c r="O292">
        <f t="shared" si="14"/>
        <v>1</v>
      </c>
    </row>
    <row r="293" spans="1:15" x14ac:dyDescent="0.25">
      <c r="A293" t="s">
        <v>313</v>
      </c>
      <c r="B293" t="s">
        <v>13</v>
      </c>
      <c r="C293" t="s">
        <v>14</v>
      </c>
      <c r="D293" t="s">
        <v>389</v>
      </c>
      <c r="E293" t="s">
        <v>15</v>
      </c>
      <c r="F293" t="s">
        <v>16</v>
      </c>
      <c r="G293">
        <v>3166</v>
      </c>
      <c r="H293">
        <v>2833</v>
      </c>
      <c r="I293">
        <v>145</v>
      </c>
      <c r="J293">
        <v>360</v>
      </c>
      <c r="K293">
        <v>1</v>
      </c>
      <c r="L293" t="s">
        <v>17</v>
      </c>
      <c r="M293" t="str">
        <f t="shared" si="12"/>
        <v>Approved</v>
      </c>
      <c r="N293">
        <f t="shared" si="13"/>
        <v>5999</v>
      </c>
      <c r="O293">
        <f t="shared" si="14"/>
        <v>1</v>
      </c>
    </row>
    <row r="294" spans="1:15" x14ac:dyDescent="0.25">
      <c r="A294" t="s">
        <v>314</v>
      </c>
      <c r="B294" t="s">
        <v>13</v>
      </c>
      <c r="C294" t="s">
        <v>16</v>
      </c>
      <c r="D294" t="s">
        <v>389</v>
      </c>
      <c r="E294" t="s">
        <v>22</v>
      </c>
      <c r="F294" t="s">
        <v>16</v>
      </c>
      <c r="G294">
        <v>3271</v>
      </c>
      <c r="H294">
        <v>0</v>
      </c>
      <c r="I294">
        <v>90</v>
      </c>
      <c r="J294">
        <v>360</v>
      </c>
      <c r="K294">
        <v>1</v>
      </c>
      <c r="L294" t="s">
        <v>28</v>
      </c>
      <c r="M294" t="str">
        <f t="shared" si="12"/>
        <v>Approved</v>
      </c>
      <c r="N294">
        <f t="shared" si="13"/>
        <v>3271</v>
      </c>
      <c r="O294">
        <f t="shared" si="14"/>
        <v>1</v>
      </c>
    </row>
    <row r="295" spans="1:15" x14ac:dyDescent="0.25">
      <c r="A295" t="s">
        <v>315</v>
      </c>
      <c r="B295" t="s">
        <v>25</v>
      </c>
      <c r="C295" t="s">
        <v>14</v>
      </c>
      <c r="D295" t="s">
        <v>34</v>
      </c>
      <c r="E295" t="s">
        <v>15</v>
      </c>
      <c r="F295" t="s">
        <v>16</v>
      </c>
      <c r="G295">
        <v>2241</v>
      </c>
      <c r="H295">
        <v>2000</v>
      </c>
      <c r="I295">
        <v>88</v>
      </c>
      <c r="J295">
        <v>360</v>
      </c>
      <c r="K295">
        <v>0</v>
      </c>
      <c r="L295" t="s">
        <v>17</v>
      </c>
      <c r="M295" t="str">
        <f t="shared" si="12"/>
        <v>Rejected</v>
      </c>
      <c r="N295">
        <f t="shared" si="13"/>
        <v>4241</v>
      </c>
      <c r="O295">
        <f t="shared" si="14"/>
        <v>0</v>
      </c>
    </row>
    <row r="296" spans="1:15" x14ac:dyDescent="0.25">
      <c r="A296" t="s">
        <v>316</v>
      </c>
      <c r="B296" t="s">
        <v>13</v>
      </c>
      <c r="C296" t="s">
        <v>14</v>
      </c>
      <c r="D296" t="s">
        <v>392</v>
      </c>
      <c r="E296" t="s">
        <v>22</v>
      </c>
      <c r="G296">
        <v>1792</v>
      </c>
      <c r="H296">
        <v>2565</v>
      </c>
      <c r="I296">
        <v>128</v>
      </c>
      <c r="J296">
        <v>360</v>
      </c>
      <c r="K296">
        <v>1</v>
      </c>
      <c r="L296" t="s">
        <v>17</v>
      </c>
      <c r="M296" t="str">
        <f t="shared" si="12"/>
        <v>Rejected</v>
      </c>
      <c r="N296">
        <f t="shared" si="13"/>
        <v>4357</v>
      </c>
      <c r="O296">
        <f t="shared" si="14"/>
        <v>0</v>
      </c>
    </row>
    <row r="297" spans="1:15" x14ac:dyDescent="0.25">
      <c r="A297" t="s">
        <v>317</v>
      </c>
      <c r="B297" t="s">
        <v>25</v>
      </c>
      <c r="C297" t="s">
        <v>14</v>
      </c>
      <c r="D297" t="s">
        <v>391</v>
      </c>
      <c r="E297" t="s">
        <v>15</v>
      </c>
      <c r="F297" t="s">
        <v>16</v>
      </c>
      <c r="G297">
        <v>2666</v>
      </c>
      <c r="H297">
        <v>0</v>
      </c>
      <c r="I297">
        <v>84</v>
      </c>
      <c r="J297">
        <v>480</v>
      </c>
      <c r="K297">
        <v>1</v>
      </c>
      <c r="L297" t="s">
        <v>26</v>
      </c>
      <c r="M297" t="str">
        <f t="shared" si="12"/>
        <v>Rejected</v>
      </c>
      <c r="N297">
        <f t="shared" si="13"/>
        <v>2666</v>
      </c>
      <c r="O297">
        <f t="shared" si="14"/>
        <v>0</v>
      </c>
    </row>
    <row r="298" spans="1:15" x14ac:dyDescent="0.25">
      <c r="A298" t="s">
        <v>318</v>
      </c>
      <c r="C298" t="s">
        <v>16</v>
      </c>
      <c r="D298" t="s">
        <v>389</v>
      </c>
      <c r="E298" t="s">
        <v>15</v>
      </c>
      <c r="F298" t="s">
        <v>16</v>
      </c>
      <c r="G298">
        <v>6478</v>
      </c>
      <c r="H298">
        <v>0</v>
      </c>
      <c r="I298">
        <v>108</v>
      </c>
      <c r="J298">
        <v>360</v>
      </c>
      <c r="K298">
        <v>1</v>
      </c>
      <c r="L298" t="s">
        <v>26</v>
      </c>
      <c r="M298" t="str">
        <f t="shared" si="12"/>
        <v>Approved</v>
      </c>
      <c r="N298">
        <f t="shared" si="13"/>
        <v>6478</v>
      </c>
      <c r="O298">
        <f t="shared" si="14"/>
        <v>1</v>
      </c>
    </row>
    <row r="299" spans="1:15" x14ac:dyDescent="0.25">
      <c r="A299" t="s">
        <v>319</v>
      </c>
      <c r="B299" t="s">
        <v>13</v>
      </c>
      <c r="C299" t="s">
        <v>16</v>
      </c>
      <c r="D299" t="s">
        <v>389</v>
      </c>
      <c r="E299" t="s">
        <v>22</v>
      </c>
      <c r="G299">
        <v>3808</v>
      </c>
      <c r="H299">
        <v>0</v>
      </c>
      <c r="I299">
        <v>83</v>
      </c>
      <c r="J299">
        <v>360</v>
      </c>
      <c r="K299">
        <v>1</v>
      </c>
      <c r="L299" t="s">
        <v>28</v>
      </c>
      <c r="M299" t="str">
        <f t="shared" si="12"/>
        <v>Approved</v>
      </c>
      <c r="N299">
        <f t="shared" si="13"/>
        <v>3808</v>
      </c>
      <c r="O299">
        <f t="shared" si="14"/>
        <v>1</v>
      </c>
    </row>
    <row r="300" spans="1:15" x14ac:dyDescent="0.25">
      <c r="A300" t="s">
        <v>320</v>
      </c>
      <c r="B300" t="s">
        <v>25</v>
      </c>
      <c r="C300" t="s">
        <v>14</v>
      </c>
      <c r="D300" t="s">
        <v>389</v>
      </c>
      <c r="E300" t="s">
        <v>22</v>
      </c>
      <c r="F300" t="s">
        <v>16</v>
      </c>
      <c r="G300">
        <v>3729</v>
      </c>
      <c r="H300">
        <v>0</v>
      </c>
      <c r="I300">
        <v>117</v>
      </c>
      <c r="J300">
        <v>360</v>
      </c>
      <c r="K300">
        <v>1</v>
      </c>
      <c r="L300" t="s">
        <v>26</v>
      </c>
      <c r="M300" t="str">
        <f t="shared" si="12"/>
        <v>Approved</v>
      </c>
      <c r="N300">
        <f t="shared" si="13"/>
        <v>3729</v>
      </c>
      <c r="O300">
        <f t="shared" si="14"/>
        <v>1</v>
      </c>
    </row>
    <row r="301" spans="1:15" x14ac:dyDescent="0.25">
      <c r="A301" t="s">
        <v>321</v>
      </c>
      <c r="B301" t="s">
        <v>13</v>
      </c>
      <c r="C301" t="s">
        <v>14</v>
      </c>
      <c r="D301" t="s">
        <v>389</v>
      </c>
      <c r="E301" t="s">
        <v>15</v>
      </c>
      <c r="F301" t="s">
        <v>16</v>
      </c>
      <c r="G301">
        <v>4120</v>
      </c>
      <c r="H301">
        <v>0</v>
      </c>
      <c r="I301">
        <v>128</v>
      </c>
      <c r="J301">
        <v>360</v>
      </c>
      <c r="K301">
        <v>1</v>
      </c>
      <c r="L301" t="s">
        <v>28</v>
      </c>
      <c r="M301" t="str">
        <f t="shared" si="12"/>
        <v>Approved</v>
      </c>
      <c r="N301">
        <f t="shared" si="13"/>
        <v>4120</v>
      </c>
      <c r="O301">
        <f t="shared" si="14"/>
        <v>1</v>
      </c>
    </row>
    <row r="302" spans="1:15" x14ac:dyDescent="0.25">
      <c r="A302" t="s">
        <v>322</v>
      </c>
      <c r="B302" t="s">
        <v>13</v>
      </c>
      <c r="C302" t="s">
        <v>14</v>
      </c>
      <c r="D302" t="s">
        <v>389</v>
      </c>
      <c r="E302" t="s">
        <v>15</v>
      </c>
      <c r="F302" t="s">
        <v>14</v>
      </c>
      <c r="G302">
        <v>7500</v>
      </c>
      <c r="H302">
        <v>0</v>
      </c>
      <c r="I302">
        <v>75</v>
      </c>
      <c r="J302">
        <v>360</v>
      </c>
      <c r="K302">
        <v>1</v>
      </c>
      <c r="L302" t="s">
        <v>17</v>
      </c>
      <c r="M302" t="str">
        <f t="shared" si="12"/>
        <v>Approved</v>
      </c>
      <c r="N302">
        <f t="shared" si="13"/>
        <v>7500</v>
      </c>
      <c r="O302">
        <f t="shared" si="14"/>
        <v>1</v>
      </c>
    </row>
    <row r="303" spans="1:15" x14ac:dyDescent="0.25">
      <c r="A303" t="s">
        <v>323</v>
      </c>
      <c r="B303" t="s">
        <v>13</v>
      </c>
      <c r="C303" t="s">
        <v>14</v>
      </c>
      <c r="D303" t="s">
        <v>389</v>
      </c>
      <c r="E303" t="s">
        <v>15</v>
      </c>
      <c r="G303">
        <v>6300</v>
      </c>
      <c r="H303">
        <v>0</v>
      </c>
      <c r="I303">
        <v>125</v>
      </c>
      <c r="J303">
        <v>360</v>
      </c>
      <c r="K303">
        <v>0</v>
      </c>
      <c r="L303" t="s">
        <v>17</v>
      </c>
      <c r="M303" t="str">
        <f t="shared" si="12"/>
        <v>Rejected</v>
      </c>
      <c r="N303">
        <f t="shared" si="13"/>
        <v>6300</v>
      </c>
      <c r="O303">
        <f t="shared" si="14"/>
        <v>0</v>
      </c>
    </row>
    <row r="304" spans="1:15" x14ac:dyDescent="0.25">
      <c r="A304" t="s">
        <v>324</v>
      </c>
      <c r="B304" t="s">
        <v>25</v>
      </c>
      <c r="C304" t="s">
        <v>16</v>
      </c>
      <c r="D304" t="s">
        <v>390</v>
      </c>
      <c r="E304" t="s">
        <v>15</v>
      </c>
      <c r="F304" t="s">
        <v>14</v>
      </c>
      <c r="G304">
        <v>14987</v>
      </c>
      <c r="H304">
        <v>0</v>
      </c>
      <c r="I304">
        <v>177</v>
      </c>
      <c r="J304">
        <v>360</v>
      </c>
      <c r="K304">
        <v>1</v>
      </c>
      <c r="L304" t="s">
        <v>28</v>
      </c>
      <c r="M304" t="str">
        <f t="shared" si="12"/>
        <v>Approved</v>
      </c>
      <c r="N304">
        <f t="shared" si="13"/>
        <v>14987</v>
      </c>
      <c r="O304">
        <f t="shared" si="14"/>
        <v>1</v>
      </c>
    </row>
    <row r="305" spans="1:15" x14ac:dyDescent="0.25">
      <c r="A305" t="s">
        <v>325</v>
      </c>
      <c r="C305" t="s">
        <v>14</v>
      </c>
      <c r="D305" t="s">
        <v>389</v>
      </c>
      <c r="E305" t="s">
        <v>22</v>
      </c>
      <c r="F305" t="s">
        <v>14</v>
      </c>
      <c r="G305">
        <v>570</v>
      </c>
      <c r="H305">
        <v>2125</v>
      </c>
      <c r="I305">
        <v>68</v>
      </c>
      <c r="J305">
        <v>360</v>
      </c>
      <c r="K305">
        <v>1</v>
      </c>
      <c r="L305" t="s">
        <v>28</v>
      </c>
      <c r="M305" t="str">
        <f t="shared" si="12"/>
        <v>Rejected</v>
      </c>
      <c r="N305">
        <f t="shared" si="13"/>
        <v>2695</v>
      </c>
      <c r="O305">
        <f t="shared" si="14"/>
        <v>0</v>
      </c>
    </row>
    <row r="306" spans="1:15" x14ac:dyDescent="0.25">
      <c r="A306" t="s">
        <v>326</v>
      </c>
      <c r="B306" t="s">
        <v>13</v>
      </c>
      <c r="C306" t="s">
        <v>14</v>
      </c>
      <c r="D306" t="s">
        <v>34</v>
      </c>
      <c r="E306" t="s">
        <v>15</v>
      </c>
      <c r="F306" t="s">
        <v>16</v>
      </c>
      <c r="G306">
        <v>2600</v>
      </c>
      <c r="H306">
        <v>700</v>
      </c>
      <c r="I306">
        <v>96</v>
      </c>
      <c r="J306">
        <v>360</v>
      </c>
      <c r="K306">
        <v>1</v>
      </c>
      <c r="L306" t="s">
        <v>26</v>
      </c>
      <c r="M306" t="str">
        <f t="shared" si="12"/>
        <v>Rejected</v>
      </c>
      <c r="N306">
        <f t="shared" si="13"/>
        <v>3300</v>
      </c>
      <c r="O306">
        <f t="shared" si="14"/>
        <v>0</v>
      </c>
    </row>
    <row r="307" spans="1:15" x14ac:dyDescent="0.25">
      <c r="A307" t="s">
        <v>327</v>
      </c>
      <c r="B307" t="s">
        <v>13</v>
      </c>
      <c r="C307" t="s">
        <v>16</v>
      </c>
      <c r="D307" t="s">
        <v>390</v>
      </c>
      <c r="E307" t="s">
        <v>22</v>
      </c>
      <c r="F307" t="s">
        <v>16</v>
      </c>
      <c r="G307">
        <v>2733</v>
      </c>
      <c r="H307">
        <v>1083</v>
      </c>
      <c r="I307">
        <v>180</v>
      </c>
      <c r="J307">
        <v>360</v>
      </c>
      <c r="L307" t="s">
        <v>26</v>
      </c>
      <c r="M307" t="str">
        <f t="shared" si="12"/>
        <v>Rejected</v>
      </c>
      <c r="N307">
        <f t="shared" si="13"/>
        <v>3816</v>
      </c>
      <c r="O307">
        <f t="shared" si="14"/>
        <v>0</v>
      </c>
    </row>
    <row r="308" spans="1:15" x14ac:dyDescent="0.25">
      <c r="A308" t="s">
        <v>328</v>
      </c>
      <c r="B308" t="s">
        <v>13</v>
      </c>
      <c r="C308" t="s">
        <v>14</v>
      </c>
      <c r="D308" t="s">
        <v>389</v>
      </c>
      <c r="E308" t="s">
        <v>15</v>
      </c>
      <c r="F308" t="s">
        <v>14</v>
      </c>
      <c r="G308">
        <v>7500</v>
      </c>
      <c r="H308">
        <v>0</v>
      </c>
      <c r="I308">
        <v>183</v>
      </c>
      <c r="J308">
        <v>360</v>
      </c>
      <c r="K308">
        <v>1</v>
      </c>
      <c r="L308" t="s">
        <v>28</v>
      </c>
      <c r="M308" t="str">
        <f t="shared" si="12"/>
        <v>Approved</v>
      </c>
      <c r="N308">
        <f t="shared" si="13"/>
        <v>7500</v>
      </c>
      <c r="O308">
        <f t="shared" si="14"/>
        <v>1</v>
      </c>
    </row>
    <row r="309" spans="1:15" x14ac:dyDescent="0.25">
      <c r="A309" t="s">
        <v>329</v>
      </c>
      <c r="B309" t="s">
        <v>13</v>
      </c>
      <c r="C309" t="s">
        <v>14</v>
      </c>
      <c r="D309" t="s">
        <v>389</v>
      </c>
      <c r="E309" t="s">
        <v>22</v>
      </c>
      <c r="F309" t="s">
        <v>16</v>
      </c>
      <c r="G309">
        <v>3859</v>
      </c>
      <c r="H309">
        <v>0</v>
      </c>
      <c r="I309">
        <v>121</v>
      </c>
      <c r="J309">
        <v>360</v>
      </c>
      <c r="K309">
        <v>1</v>
      </c>
      <c r="L309" t="s">
        <v>28</v>
      </c>
      <c r="M309" t="str">
        <f t="shared" si="12"/>
        <v>Approved</v>
      </c>
      <c r="N309">
        <f t="shared" si="13"/>
        <v>3859</v>
      </c>
      <c r="O309">
        <f t="shared" si="14"/>
        <v>1</v>
      </c>
    </row>
    <row r="310" spans="1:15" x14ac:dyDescent="0.25">
      <c r="A310" t="s">
        <v>330</v>
      </c>
      <c r="B310" t="s">
        <v>13</v>
      </c>
      <c r="C310" t="s">
        <v>14</v>
      </c>
      <c r="D310" t="s">
        <v>390</v>
      </c>
      <c r="E310" t="s">
        <v>15</v>
      </c>
      <c r="F310" t="s">
        <v>16</v>
      </c>
      <c r="G310">
        <v>6825</v>
      </c>
      <c r="H310">
        <v>0</v>
      </c>
      <c r="I310">
        <v>162</v>
      </c>
      <c r="J310">
        <v>360</v>
      </c>
      <c r="K310">
        <v>1</v>
      </c>
      <c r="L310" t="s">
        <v>28</v>
      </c>
      <c r="M310" t="str">
        <f t="shared" si="12"/>
        <v>Approved</v>
      </c>
      <c r="N310">
        <f t="shared" si="13"/>
        <v>6825</v>
      </c>
      <c r="O310">
        <f t="shared" si="14"/>
        <v>1</v>
      </c>
    </row>
    <row r="311" spans="1:15" x14ac:dyDescent="0.25">
      <c r="A311" t="s">
        <v>331</v>
      </c>
      <c r="B311" t="s">
        <v>13</v>
      </c>
      <c r="C311" t="s">
        <v>14</v>
      </c>
      <c r="D311" t="s">
        <v>391</v>
      </c>
      <c r="E311" t="s">
        <v>15</v>
      </c>
      <c r="F311" t="s">
        <v>16</v>
      </c>
      <c r="G311">
        <v>3708</v>
      </c>
      <c r="H311">
        <v>4700</v>
      </c>
      <c r="I311">
        <v>132</v>
      </c>
      <c r="J311">
        <v>360</v>
      </c>
      <c r="K311">
        <v>1</v>
      </c>
      <c r="L311" t="s">
        <v>26</v>
      </c>
      <c r="M311" t="str">
        <f t="shared" si="12"/>
        <v>Approved</v>
      </c>
      <c r="N311">
        <f t="shared" si="13"/>
        <v>8408</v>
      </c>
      <c r="O311">
        <f t="shared" si="14"/>
        <v>1</v>
      </c>
    </row>
    <row r="312" spans="1:15" x14ac:dyDescent="0.25">
      <c r="A312" t="s">
        <v>332</v>
      </c>
      <c r="B312" t="s">
        <v>13</v>
      </c>
      <c r="C312" t="s">
        <v>16</v>
      </c>
      <c r="D312" t="s">
        <v>34</v>
      </c>
      <c r="E312" t="s">
        <v>15</v>
      </c>
      <c r="F312" t="s">
        <v>16</v>
      </c>
      <c r="G312">
        <v>5314</v>
      </c>
      <c r="H312">
        <v>0</v>
      </c>
      <c r="I312">
        <v>147</v>
      </c>
      <c r="J312">
        <v>360</v>
      </c>
      <c r="K312">
        <v>1</v>
      </c>
      <c r="L312" t="s">
        <v>17</v>
      </c>
      <c r="M312" t="str">
        <f t="shared" si="12"/>
        <v>Approved</v>
      </c>
      <c r="N312">
        <f t="shared" si="13"/>
        <v>5314</v>
      </c>
      <c r="O312">
        <f t="shared" si="14"/>
        <v>1</v>
      </c>
    </row>
    <row r="313" spans="1:15" x14ac:dyDescent="0.25">
      <c r="A313" t="s">
        <v>333</v>
      </c>
      <c r="B313" t="s">
        <v>25</v>
      </c>
      <c r="C313" t="s">
        <v>16</v>
      </c>
      <c r="D313" t="s">
        <v>390</v>
      </c>
      <c r="E313" t="s">
        <v>15</v>
      </c>
      <c r="F313" t="s">
        <v>16</v>
      </c>
      <c r="G313">
        <v>2366</v>
      </c>
      <c r="H313">
        <v>5272</v>
      </c>
      <c r="I313">
        <v>153</v>
      </c>
      <c r="J313">
        <v>360</v>
      </c>
      <c r="K313">
        <v>0</v>
      </c>
      <c r="L313" t="s">
        <v>28</v>
      </c>
      <c r="M313" t="str">
        <f t="shared" si="12"/>
        <v>Rejected</v>
      </c>
      <c r="N313">
        <f t="shared" si="13"/>
        <v>7638</v>
      </c>
      <c r="O313">
        <f t="shared" si="14"/>
        <v>0</v>
      </c>
    </row>
    <row r="314" spans="1:15" x14ac:dyDescent="0.25">
      <c r="A314" t="s">
        <v>334</v>
      </c>
      <c r="B314" t="s">
        <v>13</v>
      </c>
      <c r="C314" t="s">
        <v>16</v>
      </c>
      <c r="D314" t="s">
        <v>389</v>
      </c>
      <c r="E314" t="s">
        <v>15</v>
      </c>
      <c r="F314" t="s">
        <v>16</v>
      </c>
      <c r="G314">
        <v>2066</v>
      </c>
      <c r="H314">
        <v>2108</v>
      </c>
      <c r="I314">
        <v>104</v>
      </c>
      <c r="J314">
        <v>84</v>
      </c>
      <c r="K314">
        <v>1</v>
      </c>
      <c r="L314" t="s">
        <v>17</v>
      </c>
      <c r="M314" t="str">
        <f t="shared" si="12"/>
        <v>Rejected</v>
      </c>
      <c r="N314">
        <f t="shared" si="13"/>
        <v>4174</v>
      </c>
      <c r="O314">
        <f t="shared" si="14"/>
        <v>0</v>
      </c>
    </row>
    <row r="315" spans="1:15" x14ac:dyDescent="0.25">
      <c r="A315" t="s">
        <v>335</v>
      </c>
      <c r="B315" t="s">
        <v>13</v>
      </c>
      <c r="C315" t="s">
        <v>14</v>
      </c>
      <c r="D315" t="s">
        <v>34</v>
      </c>
      <c r="E315" t="s">
        <v>15</v>
      </c>
      <c r="F315" t="s">
        <v>16</v>
      </c>
      <c r="G315">
        <v>5000</v>
      </c>
      <c r="H315">
        <v>0</v>
      </c>
      <c r="I315">
        <v>149</v>
      </c>
      <c r="J315">
        <v>360</v>
      </c>
      <c r="K315">
        <v>1</v>
      </c>
      <c r="L315" t="s">
        <v>28</v>
      </c>
      <c r="M315" t="str">
        <f t="shared" si="12"/>
        <v>Approved</v>
      </c>
      <c r="N315">
        <f t="shared" si="13"/>
        <v>5000</v>
      </c>
      <c r="O315">
        <f t="shared" si="14"/>
        <v>1</v>
      </c>
    </row>
    <row r="316" spans="1:15" x14ac:dyDescent="0.25">
      <c r="A316" t="s">
        <v>336</v>
      </c>
      <c r="B316" t="s">
        <v>25</v>
      </c>
      <c r="C316" t="s">
        <v>16</v>
      </c>
      <c r="D316" t="s">
        <v>390</v>
      </c>
      <c r="E316" t="s">
        <v>15</v>
      </c>
      <c r="F316" t="s">
        <v>16</v>
      </c>
      <c r="G316">
        <v>3767</v>
      </c>
      <c r="H316">
        <v>0</v>
      </c>
      <c r="I316">
        <v>134</v>
      </c>
      <c r="J316">
        <v>300</v>
      </c>
      <c r="K316">
        <v>1</v>
      </c>
      <c r="L316" t="s">
        <v>17</v>
      </c>
      <c r="M316" t="str">
        <f t="shared" si="12"/>
        <v>Approved</v>
      </c>
      <c r="N316">
        <f t="shared" si="13"/>
        <v>3767</v>
      </c>
      <c r="O316">
        <f t="shared" si="14"/>
        <v>1</v>
      </c>
    </row>
    <row r="317" spans="1:15" x14ac:dyDescent="0.25">
      <c r="A317" t="s">
        <v>337</v>
      </c>
      <c r="B317" t="s">
        <v>25</v>
      </c>
      <c r="C317" t="s">
        <v>14</v>
      </c>
      <c r="D317" t="s">
        <v>389</v>
      </c>
      <c r="E317" t="s">
        <v>15</v>
      </c>
      <c r="F317" t="s">
        <v>16</v>
      </c>
      <c r="G317">
        <v>7859</v>
      </c>
      <c r="H317">
        <v>879</v>
      </c>
      <c r="I317">
        <v>165</v>
      </c>
      <c r="J317">
        <v>180</v>
      </c>
      <c r="K317">
        <v>1</v>
      </c>
      <c r="L317" t="s">
        <v>26</v>
      </c>
      <c r="M317" t="str">
        <f t="shared" si="12"/>
        <v>Approved</v>
      </c>
      <c r="N317">
        <f t="shared" si="13"/>
        <v>8738</v>
      </c>
      <c r="O317">
        <f t="shared" si="14"/>
        <v>1</v>
      </c>
    </row>
    <row r="318" spans="1:15" x14ac:dyDescent="0.25">
      <c r="A318" t="s">
        <v>338</v>
      </c>
      <c r="B318" t="s">
        <v>25</v>
      </c>
      <c r="C318" t="s">
        <v>14</v>
      </c>
      <c r="D318" t="s">
        <v>389</v>
      </c>
      <c r="E318" t="s">
        <v>15</v>
      </c>
      <c r="F318" t="s">
        <v>16</v>
      </c>
      <c r="G318">
        <v>4283</v>
      </c>
      <c r="H318">
        <v>0</v>
      </c>
      <c r="I318">
        <v>120</v>
      </c>
      <c r="J318">
        <v>360</v>
      </c>
      <c r="K318">
        <v>1</v>
      </c>
      <c r="L318" t="s">
        <v>28</v>
      </c>
      <c r="M318" t="str">
        <f t="shared" si="12"/>
        <v>Approved</v>
      </c>
      <c r="N318">
        <f t="shared" si="13"/>
        <v>4283</v>
      </c>
      <c r="O318">
        <f t="shared" si="14"/>
        <v>1</v>
      </c>
    </row>
    <row r="319" spans="1:15" x14ac:dyDescent="0.25">
      <c r="A319" t="s">
        <v>339</v>
      </c>
      <c r="B319" t="s">
        <v>13</v>
      </c>
      <c r="C319" t="s">
        <v>14</v>
      </c>
      <c r="D319" t="s">
        <v>391</v>
      </c>
      <c r="E319" t="s">
        <v>22</v>
      </c>
      <c r="F319" t="s">
        <v>16</v>
      </c>
      <c r="G319">
        <v>1700</v>
      </c>
      <c r="H319">
        <v>2900</v>
      </c>
      <c r="I319">
        <v>67</v>
      </c>
      <c r="J319">
        <v>360</v>
      </c>
      <c r="K319">
        <v>0</v>
      </c>
      <c r="L319" t="s">
        <v>17</v>
      </c>
      <c r="M319" t="str">
        <f t="shared" si="12"/>
        <v>Rejected</v>
      </c>
      <c r="N319">
        <f t="shared" si="13"/>
        <v>4600</v>
      </c>
      <c r="O319">
        <f t="shared" si="14"/>
        <v>0</v>
      </c>
    </row>
    <row r="320" spans="1:15" x14ac:dyDescent="0.25">
      <c r="A320" t="s">
        <v>340</v>
      </c>
      <c r="C320" t="s">
        <v>16</v>
      </c>
      <c r="D320" t="s">
        <v>389</v>
      </c>
      <c r="E320" t="s">
        <v>22</v>
      </c>
      <c r="F320" t="s">
        <v>16</v>
      </c>
      <c r="G320">
        <v>4768</v>
      </c>
      <c r="H320">
        <v>0</v>
      </c>
      <c r="I320">
        <v>125</v>
      </c>
      <c r="J320">
        <v>360</v>
      </c>
      <c r="K320">
        <v>1</v>
      </c>
      <c r="L320" t="s">
        <v>28</v>
      </c>
      <c r="M320" t="str">
        <f t="shared" si="12"/>
        <v>Approved</v>
      </c>
      <c r="N320">
        <f t="shared" si="13"/>
        <v>4768</v>
      </c>
      <c r="O320">
        <f t="shared" si="14"/>
        <v>1</v>
      </c>
    </row>
    <row r="321" spans="1:15" x14ac:dyDescent="0.25">
      <c r="A321" t="s">
        <v>341</v>
      </c>
      <c r="B321" t="s">
        <v>13</v>
      </c>
      <c r="C321" t="s">
        <v>16</v>
      </c>
      <c r="D321" t="s">
        <v>389</v>
      </c>
      <c r="E321" t="s">
        <v>15</v>
      </c>
      <c r="F321" t="s">
        <v>16</v>
      </c>
      <c r="G321">
        <v>3083</v>
      </c>
      <c r="H321">
        <v>2738</v>
      </c>
      <c r="I321">
        <v>120</v>
      </c>
      <c r="J321">
        <v>360</v>
      </c>
      <c r="K321">
        <v>1</v>
      </c>
      <c r="L321" t="s">
        <v>17</v>
      </c>
      <c r="M321" t="str">
        <f t="shared" si="12"/>
        <v>Approved</v>
      </c>
      <c r="N321">
        <f t="shared" si="13"/>
        <v>5821</v>
      </c>
      <c r="O321">
        <f t="shared" si="14"/>
        <v>1</v>
      </c>
    </row>
    <row r="322" spans="1:15" x14ac:dyDescent="0.25">
      <c r="A322" t="s">
        <v>342</v>
      </c>
      <c r="B322" t="s">
        <v>13</v>
      </c>
      <c r="C322" t="s">
        <v>14</v>
      </c>
      <c r="D322" t="s">
        <v>390</v>
      </c>
      <c r="E322" t="s">
        <v>15</v>
      </c>
      <c r="F322" t="s">
        <v>16</v>
      </c>
      <c r="G322">
        <v>2667</v>
      </c>
      <c r="H322">
        <v>1542</v>
      </c>
      <c r="I322">
        <v>148</v>
      </c>
      <c r="J322">
        <v>360</v>
      </c>
      <c r="K322">
        <v>1</v>
      </c>
      <c r="L322" t="s">
        <v>28</v>
      </c>
      <c r="M322" t="str">
        <f t="shared" si="12"/>
        <v>Rejected</v>
      </c>
      <c r="N322">
        <f t="shared" si="13"/>
        <v>4209</v>
      </c>
      <c r="O322">
        <f t="shared" si="14"/>
        <v>0</v>
      </c>
    </row>
    <row r="323" spans="1:15" x14ac:dyDescent="0.25">
      <c r="A323" t="s">
        <v>343</v>
      </c>
      <c r="B323" t="s">
        <v>25</v>
      </c>
      <c r="C323" t="s">
        <v>14</v>
      </c>
      <c r="D323" t="s">
        <v>389</v>
      </c>
      <c r="E323" t="s">
        <v>22</v>
      </c>
      <c r="F323" t="s">
        <v>16</v>
      </c>
      <c r="G323">
        <v>1647</v>
      </c>
      <c r="H323">
        <v>1762</v>
      </c>
      <c r="I323">
        <v>181</v>
      </c>
      <c r="J323">
        <v>360</v>
      </c>
      <c r="K323">
        <v>1</v>
      </c>
      <c r="L323" t="s">
        <v>17</v>
      </c>
      <c r="M323" t="str">
        <f t="shared" ref="M323:M368" si="15">IF(AND(K323=1,G323&gt;3000,I323&lt;200),"Approved","Rejected")</f>
        <v>Rejected</v>
      </c>
      <c r="N323">
        <f t="shared" ref="N323:N368" si="16">G323+H323</f>
        <v>3409</v>
      </c>
      <c r="O323">
        <f t="shared" ref="O323:O368" si="17">IF(M323="Approved",1,0)</f>
        <v>0</v>
      </c>
    </row>
    <row r="324" spans="1:15" x14ac:dyDescent="0.25">
      <c r="A324" t="s">
        <v>344</v>
      </c>
      <c r="B324" t="s">
        <v>13</v>
      </c>
      <c r="C324" t="s">
        <v>14</v>
      </c>
      <c r="D324" t="s">
        <v>389</v>
      </c>
      <c r="E324" t="s">
        <v>15</v>
      </c>
      <c r="F324" t="s">
        <v>16</v>
      </c>
      <c r="G324">
        <v>3400</v>
      </c>
      <c r="H324">
        <v>0</v>
      </c>
      <c r="I324">
        <v>80</v>
      </c>
      <c r="J324">
        <v>120</v>
      </c>
      <c r="K324">
        <v>1</v>
      </c>
      <c r="L324" t="s">
        <v>17</v>
      </c>
      <c r="M324" t="str">
        <f t="shared" si="15"/>
        <v>Approved</v>
      </c>
      <c r="N324">
        <f t="shared" si="16"/>
        <v>3400</v>
      </c>
      <c r="O324">
        <f t="shared" si="17"/>
        <v>1</v>
      </c>
    </row>
    <row r="325" spans="1:15" x14ac:dyDescent="0.25">
      <c r="A325" t="s">
        <v>345</v>
      </c>
      <c r="B325" t="s">
        <v>13</v>
      </c>
      <c r="C325" t="s">
        <v>16</v>
      </c>
      <c r="D325" t="s">
        <v>389</v>
      </c>
      <c r="E325" t="s">
        <v>15</v>
      </c>
      <c r="G325">
        <v>16000</v>
      </c>
      <c r="H325">
        <v>5000</v>
      </c>
      <c r="I325">
        <v>40</v>
      </c>
      <c r="J325">
        <v>360</v>
      </c>
      <c r="K325">
        <v>1</v>
      </c>
      <c r="L325" t="s">
        <v>26</v>
      </c>
      <c r="M325" t="str">
        <f t="shared" si="15"/>
        <v>Approved</v>
      </c>
      <c r="N325">
        <f t="shared" si="16"/>
        <v>21000</v>
      </c>
      <c r="O325">
        <f t="shared" si="17"/>
        <v>1</v>
      </c>
    </row>
    <row r="326" spans="1:15" x14ac:dyDescent="0.25">
      <c r="A326" t="s">
        <v>346</v>
      </c>
      <c r="B326" t="s">
        <v>13</v>
      </c>
      <c r="C326" t="s">
        <v>14</v>
      </c>
      <c r="D326" t="s">
        <v>34</v>
      </c>
      <c r="E326" t="s">
        <v>15</v>
      </c>
      <c r="F326" t="s">
        <v>16</v>
      </c>
      <c r="G326">
        <v>5333</v>
      </c>
      <c r="H326">
        <v>0</v>
      </c>
      <c r="I326">
        <v>90</v>
      </c>
      <c r="J326">
        <v>360</v>
      </c>
      <c r="K326">
        <v>1</v>
      </c>
      <c r="L326" t="s">
        <v>28</v>
      </c>
      <c r="M326" t="str">
        <f t="shared" si="15"/>
        <v>Approved</v>
      </c>
      <c r="N326">
        <f t="shared" si="16"/>
        <v>5333</v>
      </c>
      <c r="O326">
        <f t="shared" si="17"/>
        <v>1</v>
      </c>
    </row>
    <row r="327" spans="1:15" x14ac:dyDescent="0.25">
      <c r="A327" t="s">
        <v>347</v>
      </c>
      <c r="B327" t="s">
        <v>13</v>
      </c>
      <c r="C327" t="s">
        <v>16</v>
      </c>
      <c r="D327" t="s">
        <v>390</v>
      </c>
      <c r="E327" t="s">
        <v>15</v>
      </c>
      <c r="F327" t="s">
        <v>16</v>
      </c>
      <c r="G327">
        <v>2875</v>
      </c>
      <c r="H327">
        <v>2416</v>
      </c>
      <c r="I327">
        <v>95</v>
      </c>
      <c r="J327">
        <v>6</v>
      </c>
      <c r="K327">
        <v>0</v>
      </c>
      <c r="L327" t="s">
        <v>26</v>
      </c>
      <c r="M327" t="str">
        <f t="shared" si="15"/>
        <v>Rejected</v>
      </c>
      <c r="N327">
        <f t="shared" si="16"/>
        <v>5291</v>
      </c>
      <c r="O327">
        <f t="shared" si="17"/>
        <v>0</v>
      </c>
    </row>
    <row r="328" spans="1:15" x14ac:dyDescent="0.25">
      <c r="A328" t="s">
        <v>348</v>
      </c>
      <c r="B328" t="s">
        <v>13</v>
      </c>
      <c r="C328" t="s">
        <v>14</v>
      </c>
      <c r="D328" t="s">
        <v>389</v>
      </c>
      <c r="E328" t="s">
        <v>22</v>
      </c>
      <c r="G328">
        <v>2600</v>
      </c>
      <c r="H328">
        <v>618</v>
      </c>
      <c r="I328">
        <v>122</v>
      </c>
      <c r="J328">
        <v>360</v>
      </c>
      <c r="K328">
        <v>1</v>
      </c>
      <c r="L328" t="s">
        <v>26</v>
      </c>
      <c r="M328" t="str">
        <f t="shared" si="15"/>
        <v>Rejected</v>
      </c>
      <c r="N328">
        <f t="shared" si="16"/>
        <v>3218</v>
      </c>
      <c r="O328">
        <f t="shared" si="17"/>
        <v>0</v>
      </c>
    </row>
    <row r="329" spans="1:15" x14ac:dyDescent="0.25">
      <c r="A329" t="s">
        <v>349</v>
      </c>
      <c r="B329" t="s">
        <v>13</v>
      </c>
      <c r="C329" t="s">
        <v>14</v>
      </c>
      <c r="D329" t="s">
        <v>34</v>
      </c>
      <c r="E329" t="s">
        <v>15</v>
      </c>
      <c r="F329" t="s">
        <v>16</v>
      </c>
      <c r="G329">
        <v>5041</v>
      </c>
      <c r="H329">
        <v>700</v>
      </c>
      <c r="I329">
        <v>150</v>
      </c>
      <c r="J329">
        <v>360</v>
      </c>
      <c r="K329">
        <v>1</v>
      </c>
      <c r="L329" t="s">
        <v>17</v>
      </c>
      <c r="M329" t="str">
        <f t="shared" si="15"/>
        <v>Approved</v>
      </c>
      <c r="N329">
        <f t="shared" si="16"/>
        <v>5741</v>
      </c>
      <c r="O329">
        <f t="shared" si="17"/>
        <v>1</v>
      </c>
    </row>
    <row r="330" spans="1:15" x14ac:dyDescent="0.25">
      <c r="A330" t="s">
        <v>350</v>
      </c>
      <c r="B330" t="s">
        <v>13</v>
      </c>
      <c r="C330" t="s">
        <v>14</v>
      </c>
      <c r="D330" t="s">
        <v>389</v>
      </c>
      <c r="E330" t="s">
        <v>15</v>
      </c>
      <c r="F330" t="s">
        <v>14</v>
      </c>
      <c r="G330">
        <v>6958</v>
      </c>
      <c r="H330">
        <v>1411</v>
      </c>
      <c r="I330">
        <v>150</v>
      </c>
      <c r="J330">
        <v>360</v>
      </c>
      <c r="K330">
        <v>1</v>
      </c>
      <c r="L330" t="s">
        <v>28</v>
      </c>
      <c r="M330" t="str">
        <f t="shared" si="15"/>
        <v>Approved</v>
      </c>
      <c r="N330">
        <f t="shared" si="16"/>
        <v>8369</v>
      </c>
      <c r="O330">
        <f t="shared" si="17"/>
        <v>1</v>
      </c>
    </row>
    <row r="331" spans="1:15" x14ac:dyDescent="0.25">
      <c r="A331" t="s">
        <v>351</v>
      </c>
      <c r="B331" t="s">
        <v>13</v>
      </c>
      <c r="C331" t="s">
        <v>14</v>
      </c>
      <c r="D331" t="s">
        <v>389</v>
      </c>
      <c r="E331" t="s">
        <v>15</v>
      </c>
      <c r="F331" t="s">
        <v>16</v>
      </c>
      <c r="G331">
        <v>3500</v>
      </c>
      <c r="H331">
        <v>1658</v>
      </c>
      <c r="I331">
        <v>104</v>
      </c>
      <c r="J331">
        <v>360</v>
      </c>
      <c r="L331" t="s">
        <v>26</v>
      </c>
      <c r="M331" t="str">
        <f t="shared" si="15"/>
        <v>Rejected</v>
      </c>
      <c r="N331">
        <f t="shared" si="16"/>
        <v>5158</v>
      </c>
      <c r="O331">
        <f t="shared" si="17"/>
        <v>0</v>
      </c>
    </row>
    <row r="332" spans="1:15" x14ac:dyDescent="0.25">
      <c r="A332" t="s">
        <v>352</v>
      </c>
      <c r="B332" t="s">
        <v>13</v>
      </c>
      <c r="C332" t="s">
        <v>14</v>
      </c>
      <c r="D332" t="s">
        <v>391</v>
      </c>
      <c r="E332" t="s">
        <v>15</v>
      </c>
      <c r="F332" t="s">
        <v>16</v>
      </c>
      <c r="G332">
        <v>5509</v>
      </c>
      <c r="H332">
        <v>0</v>
      </c>
      <c r="I332">
        <v>143</v>
      </c>
      <c r="J332">
        <v>360</v>
      </c>
      <c r="K332">
        <v>1</v>
      </c>
      <c r="L332" t="s">
        <v>28</v>
      </c>
      <c r="M332" t="str">
        <f t="shared" si="15"/>
        <v>Approved</v>
      </c>
      <c r="N332">
        <f t="shared" si="16"/>
        <v>5509</v>
      </c>
      <c r="O332">
        <f t="shared" si="17"/>
        <v>1</v>
      </c>
    </row>
    <row r="333" spans="1:15" x14ac:dyDescent="0.25">
      <c r="A333" t="s">
        <v>353</v>
      </c>
      <c r="B333" t="s">
        <v>13</v>
      </c>
      <c r="C333" t="s">
        <v>14</v>
      </c>
      <c r="D333" t="s">
        <v>389</v>
      </c>
      <c r="E333" t="s">
        <v>15</v>
      </c>
      <c r="F333" t="s">
        <v>16</v>
      </c>
      <c r="G333">
        <v>9699</v>
      </c>
      <c r="H333">
        <v>0</v>
      </c>
      <c r="I333">
        <v>300</v>
      </c>
      <c r="J333">
        <v>360</v>
      </c>
      <c r="K333">
        <v>1</v>
      </c>
      <c r="L333" t="s">
        <v>17</v>
      </c>
      <c r="M333" t="str">
        <f t="shared" si="15"/>
        <v>Rejected</v>
      </c>
      <c r="N333">
        <f t="shared" si="16"/>
        <v>9699</v>
      </c>
      <c r="O333">
        <f t="shared" si="17"/>
        <v>0</v>
      </c>
    </row>
    <row r="334" spans="1:15" x14ac:dyDescent="0.25">
      <c r="A334" t="s">
        <v>354</v>
      </c>
      <c r="B334" t="s">
        <v>25</v>
      </c>
      <c r="C334" t="s">
        <v>14</v>
      </c>
      <c r="D334" t="s">
        <v>391</v>
      </c>
      <c r="E334" t="s">
        <v>22</v>
      </c>
      <c r="F334" t="s">
        <v>16</v>
      </c>
      <c r="G334">
        <v>3621</v>
      </c>
      <c r="H334">
        <v>2717</v>
      </c>
      <c r="I334">
        <v>171</v>
      </c>
      <c r="J334">
        <v>360</v>
      </c>
      <c r="K334">
        <v>1</v>
      </c>
      <c r="L334" t="s">
        <v>17</v>
      </c>
      <c r="M334" t="str">
        <f t="shared" si="15"/>
        <v>Approved</v>
      </c>
      <c r="N334">
        <f t="shared" si="16"/>
        <v>6338</v>
      </c>
      <c r="O334">
        <f t="shared" si="17"/>
        <v>1</v>
      </c>
    </row>
    <row r="335" spans="1:15" x14ac:dyDescent="0.25">
      <c r="A335" t="s">
        <v>355</v>
      </c>
      <c r="B335" t="s">
        <v>25</v>
      </c>
      <c r="C335" t="s">
        <v>14</v>
      </c>
      <c r="D335" t="s">
        <v>389</v>
      </c>
      <c r="E335" t="s">
        <v>15</v>
      </c>
      <c r="F335" t="s">
        <v>16</v>
      </c>
      <c r="G335">
        <v>4709</v>
      </c>
      <c r="H335">
        <v>0</v>
      </c>
      <c r="I335">
        <v>113</v>
      </c>
      <c r="J335">
        <v>360</v>
      </c>
      <c r="K335">
        <v>1</v>
      </c>
      <c r="L335" t="s">
        <v>26</v>
      </c>
      <c r="M335" t="str">
        <f t="shared" si="15"/>
        <v>Approved</v>
      </c>
      <c r="N335">
        <f t="shared" si="16"/>
        <v>4709</v>
      </c>
      <c r="O335">
        <f t="shared" si="17"/>
        <v>1</v>
      </c>
    </row>
    <row r="336" spans="1:15" x14ac:dyDescent="0.25">
      <c r="A336" t="s">
        <v>356</v>
      </c>
      <c r="B336" t="s">
        <v>13</v>
      </c>
      <c r="C336" t="s">
        <v>14</v>
      </c>
      <c r="D336" t="s">
        <v>389</v>
      </c>
      <c r="E336" t="s">
        <v>15</v>
      </c>
      <c r="F336" t="s">
        <v>16</v>
      </c>
      <c r="G336">
        <v>1516</v>
      </c>
      <c r="H336">
        <v>1951</v>
      </c>
      <c r="I336">
        <v>35</v>
      </c>
      <c r="J336">
        <v>360</v>
      </c>
      <c r="K336">
        <v>1</v>
      </c>
      <c r="L336" t="s">
        <v>26</v>
      </c>
      <c r="M336" t="str">
        <f t="shared" si="15"/>
        <v>Rejected</v>
      </c>
      <c r="N336">
        <f t="shared" si="16"/>
        <v>3467</v>
      </c>
      <c r="O336">
        <f t="shared" si="17"/>
        <v>0</v>
      </c>
    </row>
    <row r="337" spans="1:15" x14ac:dyDescent="0.25">
      <c r="A337" t="s">
        <v>357</v>
      </c>
      <c r="B337" t="s">
        <v>13</v>
      </c>
      <c r="C337" t="s">
        <v>16</v>
      </c>
      <c r="D337" t="s">
        <v>389</v>
      </c>
      <c r="E337" t="s">
        <v>15</v>
      </c>
      <c r="F337" t="s">
        <v>16</v>
      </c>
      <c r="G337">
        <v>2400</v>
      </c>
      <c r="H337">
        <v>0</v>
      </c>
      <c r="I337">
        <v>46</v>
      </c>
      <c r="J337">
        <v>360</v>
      </c>
      <c r="K337">
        <v>1</v>
      </c>
      <c r="L337" t="s">
        <v>17</v>
      </c>
      <c r="M337" t="str">
        <f t="shared" si="15"/>
        <v>Rejected</v>
      </c>
      <c r="N337">
        <f t="shared" si="16"/>
        <v>2400</v>
      </c>
      <c r="O337">
        <f t="shared" si="17"/>
        <v>0</v>
      </c>
    </row>
    <row r="338" spans="1:15" x14ac:dyDescent="0.25">
      <c r="A338" t="s">
        <v>358</v>
      </c>
      <c r="B338" t="s">
        <v>25</v>
      </c>
      <c r="C338" t="s">
        <v>16</v>
      </c>
      <c r="D338" t="s">
        <v>34</v>
      </c>
      <c r="E338" t="s">
        <v>22</v>
      </c>
      <c r="F338" t="s">
        <v>16</v>
      </c>
      <c r="G338">
        <v>3015</v>
      </c>
      <c r="H338">
        <v>2000</v>
      </c>
      <c r="I338">
        <v>145</v>
      </c>
      <c r="J338">
        <v>360</v>
      </c>
      <c r="L338" t="s">
        <v>17</v>
      </c>
      <c r="M338" t="str">
        <f t="shared" si="15"/>
        <v>Rejected</v>
      </c>
      <c r="N338">
        <f t="shared" si="16"/>
        <v>5015</v>
      </c>
      <c r="O338">
        <f t="shared" si="17"/>
        <v>0</v>
      </c>
    </row>
    <row r="339" spans="1:15" x14ac:dyDescent="0.25">
      <c r="A339" t="s">
        <v>359</v>
      </c>
      <c r="B339" t="s">
        <v>13</v>
      </c>
      <c r="C339" t="s">
        <v>14</v>
      </c>
      <c r="D339" t="s">
        <v>34</v>
      </c>
      <c r="E339" t="s">
        <v>15</v>
      </c>
      <c r="F339" t="s">
        <v>16</v>
      </c>
      <c r="G339">
        <v>2292</v>
      </c>
      <c r="H339">
        <v>1558</v>
      </c>
      <c r="I339">
        <v>119</v>
      </c>
      <c r="J339">
        <v>360</v>
      </c>
      <c r="K339">
        <v>1</v>
      </c>
      <c r="L339" t="s">
        <v>17</v>
      </c>
      <c r="M339" t="str">
        <f t="shared" si="15"/>
        <v>Rejected</v>
      </c>
      <c r="N339">
        <f t="shared" si="16"/>
        <v>3850</v>
      </c>
      <c r="O339">
        <f t="shared" si="17"/>
        <v>0</v>
      </c>
    </row>
    <row r="340" spans="1:15" x14ac:dyDescent="0.25">
      <c r="A340" t="s">
        <v>360</v>
      </c>
      <c r="B340" t="s">
        <v>13</v>
      </c>
      <c r="C340" t="s">
        <v>14</v>
      </c>
      <c r="D340" t="s">
        <v>390</v>
      </c>
      <c r="E340" t="s">
        <v>15</v>
      </c>
      <c r="F340" t="s">
        <v>14</v>
      </c>
      <c r="G340">
        <v>2360</v>
      </c>
      <c r="H340">
        <v>3355</v>
      </c>
      <c r="I340">
        <v>87</v>
      </c>
      <c r="J340">
        <v>240</v>
      </c>
      <c r="K340">
        <v>1</v>
      </c>
      <c r="L340" t="s">
        <v>28</v>
      </c>
      <c r="M340" t="str">
        <f t="shared" si="15"/>
        <v>Rejected</v>
      </c>
      <c r="N340">
        <f t="shared" si="16"/>
        <v>5715</v>
      </c>
      <c r="O340">
        <f t="shared" si="17"/>
        <v>0</v>
      </c>
    </row>
    <row r="341" spans="1:15" x14ac:dyDescent="0.25">
      <c r="A341" t="s">
        <v>361</v>
      </c>
      <c r="B341" t="s">
        <v>25</v>
      </c>
      <c r="C341" t="s">
        <v>16</v>
      </c>
      <c r="D341" t="s">
        <v>389</v>
      </c>
      <c r="E341" t="s">
        <v>15</v>
      </c>
      <c r="F341" t="s">
        <v>16</v>
      </c>
      <c r="G341">
        <v>4333</v>
      </c>
      <c r="H341">
        <v>2333</v>
      </c>
      <c r="I341">
        <v>162</v>
      </c>
      <c r="J341">
        <v>360</v>
      </c>
      <c r="K341">
        <v>0</v>
      </c>
      <c r="L341" t="s">
        <v>28</v>
      </c>
      <c r="M341" t="str">
        <f t="shared" si="15"/>
        <v>Rejected</v>
      </c>
      <c r="N341">
        <f t="shared" si="16"/>
        <v>6666</v>
      </c>
      <c r="O341">
        <f t="shared" si="17"/>
        <v>0</v>
      </c>
    </row>
    <row r="342" spans="1:15" x14ac:dyDescent="0.25">
      <c r="A342" t="s">
        <v>362</v>
      </c>
      <c r="B342" t="s">
        <v>13</v>
      </c>
      <c r="C342" t="s">
        <v>14</v>
      </c>
      <c r="D342" t="s">
        <v>391</v>
      </c>
      <c r="E342" t="s">
        <v>15</v>
      </c>
      <c r="F342" t="s">
        <v>14</v>
      </c>
      <c r="G342">
        <v>2623</v>
      </c>
      <c r="H342">
        <v>4831</v>
      </c>
      <c r="I342">
        <v>122</v>
      </c>
      <c r="J342">
        <v>180</v>
      </c>
      <c r="K342">
        <v>1</v>
      </c>
      <c r="L342" t="s">
        <v>26</v>
      </c>
      <c r="M342" t="str">
        <f t="shared" si="15"/>
        <v>Rejected</v>
      </c>
      <c r="N342">
        <f t="shared" si="16"/>
        <v>7454</v>
      </c>
      <c r="O342">
        <f t="shared" si="17"/>
        <v>0</v>
      </c>
    </row>
    <row r="343" spans="1:15" x14ac:dyDescent="0.25">
      <c r="A343" t="s">
        <v>363</v>
      </c>
      <c r="B343" t="s">
        <v>13</v>
      </c>
      <c r="C343" t="s">
        <v>16</v>
      </c>
      <c r="D343" t="s">
        <v>389</v>
      </c>
      <c r="E343" t="s">
        <v>15</v>
      </c>
      <c r="F343" t="s">
        <v>14</v>
      </c>
      <c r="G343">
        <v>3972</v>
      </c>
      <c r="H343">
        <v>4275</v>
      </c>
      <c r="I343">
        <v>187</v>
      </c>
      <c r="J343">
        <v>360</v>
      </c>
      <c r="K343">
        <v>1</v>
      </c>
      <c r="L343" t="s">
        <v>28</v>
      </c>
      <c r="M343" t="str">
        <f t="shared" si="15"/>
        <v>Approved</v>
      </c>
      <c r="N343">
        <f t="shared" si="16"/>
        <v>8247</v>
      </c>
      <c r="O343">
        <f t="shared" si="17"/>
        <v>1</v>
      </c>
    </row>
    <row r="344" spans="1:15" x14ac:dyDescent="0.25">
      <c r="A344" t="s">
        <v>364</v>
      </c>
      <c r="B344" t="s">
        <v>13</v>
      </c>
      <c r="C344" t="s">
        <v>14</v>
      </c>
      <c r="D344" t="s">
        <v>389</v>
      </c>
      <c r="E344" t="s">
        <v>22</v>
      </c>
      <c r="F344" t="s">
        <v>16</v>
      </c>
      <c r="G344">
        <v>3522</v>
      </c>
      <c r="H344">
        <v>0</v>
      </c>
      <c r="I344">
        <v>81</v>
      </c>
      <c r="J344">
        <v>180</v>
      </c>
      <c r="K344">
        <v>1</v>
      </c>
      <c r="L344" t="s">
        <v>28</v>
      </c>
      <c r="M344" t="str">
        <f t="shared" si="15"/>
        <v>Approved</v>
      </c>
      <c r="N344">
        <f t="shared" si="16"/>
        <v>3522</v>
      </c>
      <c r="O344">
        <f t="shared" si="17"/>
        <v>1</v>
      </c>
    </row>
    <row r="345" spans="1:15" x14ac:dyDescent="0.25">
      <c r="A345" t="s">
        <v>365</v>
      </c>
      <c r="B345" t="s">
        <v>13</v>
      </c>
      <c r="C345" t="s">
        <v>14</v>
      </c>
      <c r="D345" t="s">
        <v>390</v>
      </c>
      <c r="E345" t="s">
        <v>15</v>
      </c>
      <c r="F345" t="s">
        <v>16</v>
      </c>
      <c r="G345">
        <v>4700</v>
      </c>
      <c r="H345">
        <v>0</v>
      </c>
      <c r="I345">
        <v>80</v>
      </c>
      <c r="J345">
        <v>360</v>
      </c>
      <c r="K345">
        <v>1</v>
      </c>
      <c r="L345" t="s">
        <v>17</v>
      </c>
      <c r="M345" t="str">
        <f t="shared" si="15"/>
        <v>Approved</v>
      </c>
      <c r="N345">
        <f t="shared" si="16"/>
        <v>4700</v>
      </c>
      <c r="O345">
        <f t="shared" si="17"/>
        <v>1</v>
      </c>
    </row>
    <row r="346" spans="1:15" x14ac:dyDescent="0.25">
      <c r="A346" t="s">
        <v>366</v>
      </c>
      <c r="B346" t="s">
        <v>13</v>
      </c>
      <c r="C346" t="s">
        <v>16</v>
      </c>
      <c r="D346" t="s">
        <v>34</v>
      </c>
      <c r="E346" t="s">
        <v>15</v>
      </c>
      <c r="F346" t="s">
        <v>16</v>
      </c>
      <c r="G346">
        <v>6858</v>
      </c>
      <c r="H346">
        <v>0</v>
      </c>
      <c r="I346">
        <v>176</v>
      </c>
      <c r="J346">
        <v>360</v>
      </c>
      <c r="K346">
        <v>1</v>
      </c>
      <c r="L346" t="s">
        <v>28</v>
      </c>
      <c r="M346" t="str">
        <f t="shared" si="15"/>
        <v>Approved</v>
      </c>
      <c r="N346">
        <f t="shared" si="16"/>
        <v>6858</v>
      </c>
      <c r="O346">
        <f t="shared" si="17"/>
        <v>1</v>
      </c>
    </row>
    <row r="347" spans="1:15" x14ac:dyDescent="0.25">
      <c r="A347" t="s">
        <v>367</v>
      </c>
      <c r="B347" t="s">
        <v>13</v>
      </c>
      <c r="C347" t="s">
        <v>14</v>
      </c>
      <c r="D347" t="s">
        <v>389</v>
      </c>
      <c r="E347" t="s">
        <v>15</v>
      </c>
      <c r="F347" t="s">
        <v>16</v>
      </c>
      <c r="G347">
        <v>8334</v>
      </c>
      <c r="H347">
        <v>0</v>
      </c>
      <c r="I347">
        <v>260</v>
      </c>
      <c r="J347">
        <v>360</v>
      </c>
      <c r="K347">
        <v>1</v>
      </c>
      <c r="L347" t="s">
        <v>17</v>
      </c>
      <c r="M347" t="str">
        <f t="shared" si="15"/>
        <v>Rejected</v>
      </c>
      <c r="N347">
        <f t="shared" si="16"/>
        <v>8334</v>
      </c>
      <c r="O347">
        <f t="shared" si="17"/>
        <v>0</v>
      </c>
    </row>
    <row r="348" spans="1:15" x14ac:dyDescent="0.25">
      <c r="A348" t="s">
        <v>368</v>
      </c>
      <c r="B348" t="s">
        <v>13</v>
      </c>
      <c r="C348" t="s">
        <v>14</v>
      </c>
      <c r="D348" t="s">
        <v>389</v>
      </c>
      <c r="E348" t="s">
        <v>15</v>
      </c>
      <c r="F348" t="s">
        <v>16</v>
      </c>
      <c r="G348">
        <v>3391</v>
      </c>
      <c r="H348">
        <v>1966</v>
      </c>
      <c r="I348">
        <v>133</v>
      </c>
      <c r="J348">
        <v>360</v>
      </c>
      <c r="K348">
        <v>0</v>
      </c>
      <c r="L348" t="s">
        <v>28</v>
      </c>
      <c r="M348" t="str">
        <f t="shared" si="15"/>
        <v>Rejected</v>
      </c>
      <c r="N348">
        <f t="shared" si="16"/>
        <v>5357</v>
      </c>
      <c r="O348">
        <f t="shared" si="17"/>
        <v>0</v>
      </c>
    </row>
    <row r="349" spans="1:15" x14ac:dyDescent="0.25">
      <c r="A349" t="s">
        <v>369</v>
      </c>
      <c r="B349" t="s">
        <v>13</v>
      </c>
      <c r="C349" t="s">
        <v>16</v>
      </c>
      <c r="D349" t="s">
        <v>389</v>
      </c>
      <c r="E349" t="s">
        <v>22</v>
      </c>
      <c r="F349" t="s">
        <v>16</v>
      </c>
      <c r="G349">
        <v>2868</v>
      </c>
      <c r="H349">
        <v>0</v>
      </c>
      <c r="I349">
        <v>70</v>
      </c>
      <c r="J349">
        <v>360</v>
      </c>
      <c r="K349">
        <v>1</v>
      </c>
      <c r="L349" t="s">
        <v>17</v>
      </c>
      <c r="M349" t="str">
        <f t="shared" si="15"/>
        <v>Rejected</v>
      </c>
      <c r="N349">
        <f t="shared" si="16"/>
        <v>2868</v>
      </c>
      <c r="O349">
        <f t="shared" si="17"/>
        <v>0</v>
      </c>
    </row>
    <row r="350" spans="1:15" x14ac:dyDescent="0.25">
      <c r="A350" t="s">
        <v>370</v>
      </c>
      <c r="B350" t="s">
        <v>13</v>
      </c>
      <c r="C350" t="s">
        <v>14</v>
      </c>
      <c r="D350" t="s">
        <v>389</v>
      </c>
      <c r="E350" t="s">
        <v>22</v>
      </c>
      <c r="F350" t="s">
        <v>16</v>
      </c>
      <c r="G350">
        <v>3418</v>
      </c>
      <c r="H350">
        <v>1380</v>
      </c>
      <c r="I350">
        <v>135</v>
      </c>
      <c r="J350">
        <v>360</v>
      </c>
      <c r="K350">
        <v>1</v>
      </c>
      <c r="L350" t="s">
        <v>17</v>
      </c>
      <c r="M350" t="str">
        <f t="shared" si="15"/>
        <v>Approved</v>
      </c>
      <c r="N350">
        <f t="shared" si="16"/>
        <v>4798</v>
      </c>
      <c r="O350">
        <f t="shared" si="17"/>
        <v>1</v>
      </c>
    </row>
    <row r="351" spans="1:15" x14ac:dyDescent="0.25">
      <c r="A351" t="s">
        <v>371</v>
      </c>
      <c r="B351" t="s">
        <v>13</v>
      </c>
      <c r="C351" t="s">
        <v>14</v>
      </c>
      <c r="D351" t="s">
        <v>390</v>
      </c>
      <c r="E351" t="s">
        <v>15</v>
      </c>
      <c r="F351" t="s">
        <v>14</v>
      </c>
      <c r="G351">
        <v>2500</v>
      </c>
      <c r="H351">
        <v>296</v>
      </c>
      <c r="I351">
        <v>137</v>
      </c>
      <c r="J351">
        <v>300</v>
      </c>
      <c r="K351">
        <v>1</v>
      </c>
      <c r="L351" t="s">
        <v>28</v>
      </c>
      <c r="M351" t="str">
        <f t="shared" si="15"/>
        <v>Rejected</v>
      </c>
      <c r="N351">
        <f t="shared" si="16"/>
        <v>2796</v>
      </c>
      <c r="O351">
        <f t="shared" si="17"/>
        <v>0</v>
      </c>
    </row>
    <row r="352" spans="1:15" x14ac:dyDescent="0.25">
      <c r="A352" t="s">
        <v>372</v>
      </c>
      <c r="B352" t="s">
        <v>13</v>
      </c>
      <c r="C352" t="s">
        <v>14</v>
      </c>
      <c r="D352" t="s">
        <v>391</v>
      </c>
      <c r="E352" t="s">
        <v>15</v>
      </c>
      <c r="F352" t="s">
        <v>16</v>
      </c>
      <c r="G352">
        <v>8667</v>
      </c>
      <c r="H352">
        <v>0</v>
      </c>
      <c r="I352">
        <v>254</v>
      </c>
      <c r="J352">
        <v>360</v>
      </c>
      <c r="K352">
        <v>1</v>
      </c>
      <c r="L352" t="s">
        <v>28</v>
      </c>
      <c r="M352" t="str">
        <f t="shared" si="15"/>
        <v>Rejected</v>
      </c>
      <c r="N352">
        <f t="shared" si="16"/>
        <v>8667</v>
      </c>
      <c r="O352">
        <f t="shared" si="17"/>
        <v>0</v>
      </c>
    </row>
    <row r="353" spans="1:15" x14ac:dyDescent="0.25">
      <c r="A353" t="s">
        <v>373</v>
      </c>
      <c r="B353" t="s">
        <v>13</v>
      </c>
      <c r="C353" t="s">
        <v>16</v>
      </c>
      <c r="D353" t="s">
        <v>396</v>
      </c>
      <c r="E353" t="s">
        <v>15</v>
      </c>
      <c r="F353" t="s">
        <v>16</v>
      </c>
      <c r="G353">
        <v>2283</v>
      </c>
      <c r="H353">
        <v>15000</v>
      </c>
      <c r="I353">
        <v>106</v>
      </c>
      <c r="J353">
        <v>360</v>
      </c>
      <c r="L353" t="s">
        <v>28</v>
      </c>
      <c r="M353" t="str">
        <f t="shared" si="15"/>
        <v>Rejected</v>
      </c>
      <c r="N353">
        <f t="shared" si="16"/>
        <v>17283</v>
      </c>
      <c r="O353">
        <f t="shared" si="17"/>
        <v>0</v>
      </c>
    </row>
    <row r="354" spans="1:15" x14ac:dyDescent="0.25">
      <c r="A354" t="s">
        <v>374</v>
      </c>
      <c r="B354" t="s">
        <v>13</v>
      </c>
      <c r="C354" t="s">
        <v>14</v>
      </c>
      <c r="D354" t="s">
        <v>397</v>
      </c>
      <c r="E354" t="s">
        <v>15</v>
      </c>
      <c r="F354" t="s">
        <v>16</v>
      </c>
      <c r="G354">
        <v>5817</v>
      </c>
      <c r="H354">
        <v>910</v>
      </c>
      <c r="I354">
        <v>109</v>
      </c>
      <c r="J354">
        <v>360</v>
      </c>
      <c r="K354">
        <v>1</v>
      </c>
      <c r="L354" t="s">
        <v>17</v>
      </c>
      <c r="M354" t="str">
        <f t="shared" si="15"/>
        <v>Approved</v>
      </c>
      <c r="N354">
        <f t="shared" si="16"/>
        <v>6727</v>
      </c>
      <c r="O354">
        <f t="shared" si="17"/>
        <v>1</v>
      </c>
    </row>
    <row r="355" spans="1:15" x14ac:dyDescent="0.25">
      <c r="A355" t="s">
        <v>375</v>
      </c>
      <c r="B355" t="s">
        <v>13</v>
      </c>
      <c r="C355" t="s">
        <v>14</v>
      </c>
      <c r="D355" t="s">
        <v>398</v>
      </c>
      <c r="E355" t="s">
        <v>15</v>
      </c>
      <c r="F355" t="s">
        <v>16</v>
      </c>
      <c r="G355">
        <v>5119</v>
      </c>
      <c r="H355">
        <v>3769</v>
      </c>
      <c r="I355">
        <v>120</v>
      </c>
      <c r="J355">
        <v>360</v>
      </c>
      <c r="K355">
        <v>1</v>
      </c>
      <c r="L355" t="s">
        <v>28</v>
      </c>
      <c r="M355" t="str">
        <f t="shared" si="15"/>
        <v>Approved</v>
      </c>
      <c r="N355">
        <f t="shared" si="16"/>
        <v>8888</v>
      </c>
      <c r="O355">
        <f t="shared" si="17"/>
        <v>1</v>
      </c>
    </row>
    <row r="356" spans="1:15" x14ac:dyDescent="0.25">
      <c r="A356" t="s">
        <v>376</v>
      </c>
      <c r="B356" t="s">
        <v>13</v>
      </c>
      <c r="C356" t="s">
        <v>14</v>
      </c>
      <c r="D356" t="s">
        <v>399</v>
      </c>
      <c r="E356" t="s">
        <v>22</v>
      </c>
      <c r="F356" t="s">
        <v>16</v>
      </c>
      <c r="G356">
        <v>5316</v>
      </c>
      <c r="H356">
        <v>187</v>
      </c>
      <c r="I356">
        <v>158</v>
      </c>
      <c r="J356">
        <v>180</v>
      </c>
      <c r="K356">
        <v>0</v>
      </c>
      <c r="L356" t="s">
        <v>26</v>
      </c>
      <c r="M356" t="str">
        <f t="shared" si="15"/>
        <v>Rejected</v>
      </c>
      <c r="N356">
        <f t="shared" si="16"/>
        <v>5503</v>
      </c>
      <c r="O356">
        <f t="shared" si="17"/>
        <v>0</v>
      </c>
    </row>
    <row r="357" spans="1:15" x14ac:dyDescent="0.25">
      <c r="A357" t="s">
        <v>377</v>
      </c>
      <c r="B357" t="s">
        <v>13</v>
      </c>
      <c r="C357" t="s">
        <v>14</v>
      </c>
      <c r="D357" t="s">
        <v>400</v>
      </c>
      <c r="E357" t="s">
        <v>15</v>
      </c>
      <c r="F357" t="s">
        <v>16</v>
      </c>
      <c r="G357">
        <v>7603</v>
      </c>
      <c r="H357">
        <v>1213</v>
      </c>
      <c r="I357">
        <v>197</v>
      </c>
      <c r="J357">
        <v>360</v>
      </c>
      <c r="K357">
        <v>1</v>
      </c>
      <c r="L357" t="s">
        <v>17</v>
      </c>
      <c r="M357" t="str">
        <f t="shared" si="15"/>
        <v>Approved</v>
      </c>
      <c r="N357">
        <f t="shared" si="16"/>
        <v>8816</v>
      </c>
      <c r="O357">
        <f t="shared" si="17"/>
        <v>1</v>
      </c>
    </row>
    <row r="358" spans="1:15" x14ac:dyDescent="0.25">
      <c r="A358" t="s">
        <v>378</v>
      </c>
      <c r="B358" t="s">
        <v>13</v>
      </c>
      <c r="C358" t="s">
        <v>14</v>
      </c>
      <c r="D358" t="s">
        <v>401</v>
      </c>
      <c r="E358" t="s">
        <v>15</v>
      </c>
      <c r="F358" t="s">
        <v>16</v>
      </c>
      <c r="G358">
        <v>3791</v>
      </c>
      <c r="H358">
        <v>1936</v>
      </c>
      <c r="I358">
        <v>85</v>
      </c>
      <c r="J358">
        <v>360</v>
      </c>
      <c r="K358">
        <v>1</v>
      </c>
      <c r="L358" t="s">
        <v>17</v>
      </c>
      <c r="M358" t="str">
        <f t="shared" si="15"/>
        <v>Approved</v>
      </c>
      <c r="N358">
        <f t="shared" si="16"/>
        <v>5727</v>
      </c>
      <c r="O358">
        <f t="shared" si="17"/>
        <v>1</v>
      </c>
    </row>
    <row r="359" spans="1:15" x14ac:dyDescent="0.25">
      <c r="A359" t="s">
        <v>379</v>
      </c>
      <c r="B359" t="s">
        <v>13</v>
      </c>
      <c r="C359" t="s">
        <v>16</v>
      </c>
      <c r="D359" t="s">
        <v>402</v>
      </c>
      <c r="E359" t="s">
        <v>15</v>
      </c>
      <c r="F359" t="s">
        <v>16</v>
      </c>
      <c r="G359">
        <v>2500</v>
      </c>
      <c r="H359">
        <v>0</v>
      </c>
      <c r="I359">
        <v>60</v>
      </c>
      <c r="J359">
        <v>360</v>
      </c>
      <c r="K359">
        <v>1</v>
      </c>
      <c r="L359" t="s">
        <v>17</v>
      </c>
      <c r="M359" t="str">
        <f t="shared" si="15"/>
        <v>Rejected</v>
      </c>
      <c r="N359">
        <f t="shared" si="16"/>
        <v>2500</v>
      </c>
      <c r="O359">
        <f t="shared" si="17"/>
        <v>0</v>
      </c>
    </row>
    <row r="360" spans="1:15" x14ac:dyDescent="0.25">
      <c r="A360" t="s">
        <v>380</v>
      </c>
      <c r="B360" t="s">
        <v>13</v>
      </c>
      <c r="C360" t="s">
        <v>14</v>
      </c>
      <c r="D360" t="s">
        <v>403</v>
      </c>
      <c r="E360" t="s">
        <v>22</v>
      </c>
      <c r="F360" t="s">
        <v>16</v>
      </c>
      <c r="G360">
        <v>3132</v>
      </c>
      <c r="H360">
        <v>0</v>
      </c>
      <c r="I360">
        <v>76</v>
      </c>
      <c r="J360">
        <v>360</v>
      </c>
      <c r="L360" t="s">
        <v>28</v>
      </c>
      <c r="M360" t="str">
        <f t="shared" si="15"/>
        <v>Rejected</v>
      </c>
      <c r="N360">
        <f t="shared" si="16"/>
        <v>3132</v>
      </c>
      <c r="O360">
        <f t="shared" si="17"/>
        <v>0</v>
      </c>
    </row>
    <row r="361" spans="1:15" x14ac:dyDescent="0.25">
      <c r="A361" t="s">
        <v>381</v>
      </c>
      <c r="B361" t="s">
        <v>13</v>
      </c>
      <c r="C361" t="s">
        <v>16</v>
      </c>
      <c r="D361" t="s">
        <v>404</v>
      </c>
      <c r="E361" t="s">
        <v>15</v>
      </c>
      <c r="F361" t="s">
        <v>16</v>
      </c>
      <c r="G361">
        <v>4000</v>
      </c>
      <c r="H361">
        <v>2667</v>
      </c>
      <c r="I361">
        <v>152</v>
      </c>
      <c r="J361">
        <v>360</v>
      </c>
      <c r="K361">
        <v>1</v>
      </c>
      <c r="L361" t="s">
        <v>26</v>
      </c>
      <c r="M361" t="str">
        <f t="shared" si="15"/>
        <v>Approved</v>
      </c>
      <c r="N361">
        <f t="shared" si="16"/>
        <v>6667</v>
      </c>
      <c r="O361">
        <f t="shared" si="17"/>
        <v>1</v>
      </c>
    </row>
    <row r="362" spans="1:15" x14ac:dyDescent="0.25">
      <c r="A362" t="s">
        <v>382</v>
      </c>
      <c r="B362" t="s">
        <v>25</v>
      </c>
      <c r="C362" t="s">
        <v>14</v>
      </c>
      <c r="D362" t="s">
        <v>405</v>
      </c>
      <c r="E362" t="s">
        <v>15</v>
      </c>
      <c r="F362" t="s">
        <v>16</v>
      </c>
      <c r="G362">
        <v>8550</v>
      </c>
      <c r="H362">
        <v>4255</v>
      </c>
      <c r="I362">
        <v>96</v>
      </c>
      <c r="J362">
        <v>360</v>
      </c>
      <c r="L362" t="s">
        <v>17</v>
      </c>
      <c r="M362" t="str">
        <f t="shared" si="15"/>
        <v>Rejected</v>
      </c>
      <c r="N362">
        <f t="shared" si="16"/>
        <v>12805</v>
      </c>
      <c r="O362">
        <f t="shared" si="17"/>
        <v>0</v>
      </c>
    </row>
    <row r="363" spans="1:15" x14ac:dyDescent="0.25">
      <c r="A363" t="s">
        <v>383</v>
      </c>
      <c r="B363" t="s">
        <v>13</v>
      </c>
      <c r="C363" t="s">
        <v>14</v>
      </c>
      <c r="D363" t="s">
        <v>406</v>
      </c>
      <c r="E363" t="s">
        <v>15</v>
      </c>
      <c r="F363" t="s">
        <v>16</v>
      </c>
      <c r="G363">
        <v>2269</v>
      </c>
      <c r="H363">
        <v>2167</v>
      </c>
      <c r="I363">
        <v>99</v>
      </c>
      <c r="J363">
        <v>360</v>
      </c>
      <c r="K363">
        <v>1</v>
      </c>
      <c r="L363" t="s">
        <v>26</v>
      </c>
      <c r="M363" t="str">
        <f t="shared" si="15"/>
        <v>Rejected</v>
      </c>
      <c r="N363">
        <f t="shared" si="16"/>
        <v>4436</v>
      </c>
      <c r="O363">
        <f t="shared" si="17"/>
        <v>0</v>
      </c>
    </row>
    <row r="364" spans="1:15" x14ac:dyDescent="0.25">
      <c r="A364" t="s">
        <v>384</v>
      </c>
      <c r="B364" t="s">
        <v>13</v>
      </c>
      <c r="C364" t="s">
        <v>14</v>
      </c>
      <c r="D364" t="s">
        <v>407</v>
      </c>
      <c r="E364" t="s">
        <v>22</v>
      </c>
      <c r="F364" t="s">
        <v>14</v>
      </c>
      <c r="G364">
        <v>4009</v>
      </c>
      <c r="H364">
        <v>1777</v>
      </c>
      <c r="I364">
        <v>113</v>
      </c>
      <c r="J364">
        <v>360</v>
      </c>
      <c r="K364">
        <v>1</v>
      </c>
      <c r="L364" t="s">
        <v>17</v>
      </c>
      <c r="M364" t="str">
        <f t="shared" si="15"/>
        <v>Approved</v>
      </c>
      <c r="N364">
        <f t="shared" si="16"/>
        <v>5786</v>
      </c>
      <c r="O364">
        <f t="shared" si="17"/>
        <v>1</v>
      </c>
    </row>
    <row r="365" spans="1:15" x14ac:dyDescent="0.25">
      <c r="A365" t="s">
        <v>385</v>
      </c>
      <c r="B365" t="s">
        <v>13</v>
      </c>
      <c r="C365" t="s">
        <v>14</v>
      </c>
      <c r="D365" t="s">
        <v>408</v>
      </c>
      <c r="E365" t="s">
        <v>15</v>
      </c>
      <c r="F365" t="s">
        <v>16</v>
      </c>
      <c r="G365">
        <v>4158</v>
      </c>
      <c r="H365">
        <v>709</v>
      </c>
      <c r="I365">
        <v>115</v>
      </c>
      <c r="J365">
        <v>360</v>
      </c>
      <c r="K365">
        <v>1</v>
      </c>
      <c r="L365" t="s">
        <v>17</v>
      </c>
      <c r="M365" t="str">
        <f t="shared" si="15"/>
        <v>Approved</v>
      </c>
      <c r="N365">
        <f t="shared" si="16"/>
        <v>4867</v>
      </c>
      <c r="O365">
        <f t="shared" si="17"/>
        <v>1</v>
      </c>
    </row>
    <row r="366" spans="1:15" x14ac:dyDescent="0.25">
      <c r="A366" t="s">
        <v>386</v>
      </c>
      <c r="B366" t="s">
        <v>13</v>
      </c>
      <c r="C366" t="s">
        <v>16</v>
      </c>
      <c r="D366" t="s">
        <v>409</v>
      </c>
      <c r="E366" t="s">
        <v>15</v>
      </c>
      <c r="F366" t="s">
        <v>16</v>
      </c>
      <c r="G366">
        <v>3250</v>
      </c>
      <c r="H366">
        <v>1993</v>
      </c>
      <c r="I366">
        <v>126</v>
      </c>
      <c r="J366">
        <v>360</v>
      </c>
      <c r="L366" t="s">
        <v>26</v>
      </c>
      <c r="M366" t="str">
        <f t="shared" si="15"/>
        <v>Rejected</v>
      </c>
      <c r="N366">
        <f t="shared" si="16"/>
        <v>5243</v>
      </c>
      <c r="O366">
        <f t="shared" si="17"/>
        <v>0</v>
      </c>
    </row>
    <row r="367" spans="1:15" x14ac:dyDescent="0.25">
      <c r="A367" t="s">
        <v>387</v>
      </c>
      <c r="B367" t="s">
        <v>13</v>
      </c>
      <c r="C367" t="s">
        <v>14</v>
      </c>
      <c r="D367" t="s">
        <v>410</v>
      </c>
      <c r="E367" t="s">
        <v>15</v>
      </c>
      <c r="F367" t="s">
        <v>16</v>
      </c>
      <c r="G367">
        <v>5000</v>
      </c>
      <c r="H367">
        <v>2393</v>
      </c>
      <c r="I367">
        <v>158</v>
      </c>
      <c r="J367">
        <v>360</v>
      </c>
      <c r="K367">
        <v>1</v>
      </c>
      <c r="L367" t="s">
        <v>28</v>
      </c>
      <c r="M367" t="str">
        <f t="shared" si="15"/>
        <v>Approved</v>
      </c>
      <c r="N367">
        <f t="shared" si="16"/>
        <v>7393</v>
      </c>
      <c r="O367">
        <f t="shared" si="17"/>
        <v>1</v>
      </c>
    </row>
    <row r="368" spans="1:15" x14ac:dyDescent="0.25">
      <c r="A368" t="s">
        <v>388</v>
      </c>
      <c r="B368" t="s">
        <v>13</v>
      </c>
      <c r="C368" t="s">
        <v>16</v>
      </c>
      <c r="D368" t="s">
        <v>411</v>
      </c>
      <c r="E368" t="s">
        <v>15</v>
      </c>
      <c r="F368" t="s">
        <v>14</v>
      </c>
      <c r="G368">
        <v>9200</v>
      </c>
      <c r="H368">
        <v>0</v>
      </c>
      <c r="I368">
        <v>98</v>
      </c>
      <c r="J368">
        <v>180</v>
      </c>
      <c r="K368">
        <v>1</v>
      </c>
      <c r="L368" t="s">
        <v>28</v>
      </c>
      <c r="M368" t="str">
        <f t="shared" si="15"/>
        <v>Approved</v>
      </c>
      <c r="N368">
        <f t="shared" si="16"/>
        <v>9200</v>
      </c>
      <c r="O368">
        <f t="shared" si="17"/>
        <v>1</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D3D3A-3D7A-4A69-8E21-1F48A012E4BC}">
  <dimension ref="A1"/>
  <sheetViews>
    <sheetView showGridLines="0" tabSelected="1" topLeftCell="A16" zoomScale="115" zoomScaleNormal="115" workbookViewId="0">
      <selection activeCell="I48" sqref="I48"/>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0F01D-2DAF-4752-843B-E82FFD1F2D35}">
  <dimension ref="A1"/>
  <sheetViews>
    <sheetView showGridLines="0" workbookViewId="0">
      <selection activeCell="W5" sqref="W5"/>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D7F0C-7893-446A-AD59-FCA871240FA1}">
  <dimension ref="A3:B6"/>
  <sheetViews>
    <sheetView workbookViewId="0">
      <selection activeCell="Q19" sqref="Q19"/>
    </sheetView>
  </sheetViews>
  <sheetFormatPr defaultRowHeight="15" x14ac:dyDescent="0.25"/>
  <cols>
    <col min="1" max="1" width="13.42578125" bestFit="1" customWidth="1"/>
    <col min="2" max="2" width="20.42578125" bestFit="1" customWidth="1"/>
  </cols>
  <sheetData>
    <row r="3" spans="1:2" x14ac:dyDescent="0.25">
      <c r="A3" s="2" t="s">
        <v>412</v>
      </c>
      <c r="B3" t="s">
        <v>431</v>
      </c>
    </row>
    <row r="4" spans="1:2" x14ac:dyDescent="0.25">
      <c r="A4" s="3" t="s">
        <v>418</v>
      </c>
      <c r="B4">
        <v>179</v>
      </c>
    </row>
    <row r="5" spans="1:2" x14ac:dyDescent="0.25">
      <c r="A5" s="3" t="s">
        <v>419</v>
      </c>
      <c r="B5">
        <v>188</v>
      </c>
    </row>
    <row r="6" spans="1:2" x14ac:dyDescent="0.25">
      <c r="A6" s="3" t="s">
        <v>413</v>
      </c>
      <c r="B6">
        <v>367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0D897-3A20-4302-8C22-2A7592487584}">
  <dimension ref="A3:D7"/>
  <sheetViews>
    <sheetView workbookViewId="0">
      <selection activeCell="U29" sqref="U29"/>
    </sheetView>
  </sheetViews>
  <sheetFormatPr defaultRowHeight="15" x14ac:dyDescent="0.25"/>
  <cols>
    <col min="1" max="1" width="23.28515625" bestFit="1" customWidth="1"/>
    <col min="2" max="2" width="16.85546875" bestFit="1" customWidth="1"/>
    <col min="4" max="4" width="11.28515625" bestFit="1" customWidth="1"/>
  </cols>
  <sheetData>
    <row r="3" spans="1:4" x14ac:dyDescent="0.25">
      <c r="A3" s="2" t="s">
        <v>414</v>
      </c>
      <c r="B3" s="2" t="s">
        <v>416</v>
      </c>
    </row>
    <row r="4" spans="1:4" x14ac:dyDescent="0.25">
      <c r="A4" s="2" t="s">
        <v>412</v>
      </c>
      <c r="B4" t="s">
        <v>418</v>
      </c>
      <c r="C4" t="s">
        <v>419</v>
      </c>
      <c r="D4" t="s">
        <v>413</v>
      </c>
    </row>
    <row r="5" spans="1:4" x14ac:dyDescent="0.25">
      <c r="A5" s="3" t="s">
        <v>15</v>
      </c>
      <c r="B5" s="5">
        <v>0.8044692737430168</v>
      </c>
      <c r="C5" s="5">
        <v>0</v>
      </c>
      <c r="D5" s="5">
        <v>0.8044692737430168</v>
      </c>
    </row>
    <row r="6" spans="1:4" x14ac:dyDescent="0.25">
      <c r="A6" s="3" t="s">
        <v>22</v>
      </c>
      <c r="B6" s="5">
        <v>0.19553072625698323</v>
      </c>
      <c r="C6" s="5">
        <v>0</v>
      </c>
      <c r="D6" s="5">
        <v>0.19553072625698323</v>
      </c>
    </row>
    <row r="7" spans="1:4" x14ac:dyDescent="0.25">
      <c r="A7" s="3" t="s">
        <v>413</v>
      </c>
      <c r="B7" s="5">
        <v>1</v>
      </c>
      <c r="C7" s="5">
        <v>0</v>
      </c>
      <c r="D7" s="5">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7F2C0-6DAE-4A6F-874F-46826971119B}">
  <dimension ref="A3:D8"/>
  <sheetViews>
    <sheetView workbookViewId="0">
      <selection activeCell="R21" sqref="R21"/>
    </sheetView>
  </sheetViews>
  <sheetFormatPr defaultRowHeight="15" x14ac:dyDescent="0.25"/>
  <cols>
    <col min="1" max="1" width="16.5703125" bestFit="1" customWidth="1"/>
    <col min="2" max="2" width="16.85546875" bestFit="1" customWidth="1"/>
    <col min="3" max="3" width="9.140625" bestFit="1" customWidth="1"/>
    <col min="4" max="4" width="11.28515625" bestFit="1" customWidth="1"/>
  </cols>
  <sheetData>
    <row r="3" spans="1:4" x14ac:dyDescent="0.25">
      <c r="A3" s="2" t="s">
        <v>417</v>
      </c>
      <c r="B3" s="2" t="s">
        <v>416</v>
      </c>
    </row>
    <row r="4" spans="1:4" x14ac:dyDescent="0.25">
      <c r="A4" s="2" t="s">
        <v>412</v>
      </c>
      <c r="B4" t="s">
        <v>418</v>
      </c>
      <c r="C4" t="s">
        <v>419</v>
      </c>
      <c r="D4" t="s">
        <v>413</v>
      </c>
    </row>
    <row r="5" spans="1:4" x14ac:dyDescent="0.25">
      <c r="A5" s="3" t="s">
        <v>16</v>
      </c>
      <c r="B5">
        <v>154</v>
      </c>
      <c r="C5">
        <v>153</v>
      </c>
      <c r="D5">
        <v>307</v>
      </c>
    </row>
    <row r="6" spans="1:4" x14ac:dyDescent="0.25">
      <c r="A6" s="3" t="s">
        <v>14</v>
      </c>
      <c r="B6">
        <v>19</v>
      </c>
      <c r="C6">
        <v>18</v>
      </c>
      <c r="D6">
        <v>37</v>
      </c>
    </row>
    <row r="7" spans="1:4" x14ac:dyDescent="0.25">
      <c r="A7" s="3" t="s">
        <v>415</v>
      </c>
      <c r="B7">
        <v>6</v>
      </c>
      <c r="C7">
        <v>17</v>
      </c>
      <c r="D7">
        <v>23</v>
      </c>
    </row>
    <row r="8" spans="1:4" x14ac:dyDescent="0.25">
      <c r="A8" s="3" t="s">
        <v>413</v>
      </c>
      <c r="B8">
        <v>179</v>
      </c>
      <c r="C8">
        <v>188</v>
      </c>
      <c r="D8">
        <v>367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89923-F31F-4633-B61E-B985177DE7D7}">
  <dimension ref="A3:F13"/>
  <sheetViews>
    <sheetView workbookViewId="0">
      <selection activeCell="K32" sqref="K32"/>
    </sheetView>
  </sheetViews>
  <sheetFormatPr defaultRowHeight="15" x14ac:dyDescent="0.25"/>
  <cols>
    <col min="1" max="1" width="13.42578125" bestFit="1" customWidth="1"/>
    <col min="2" max="2" width="25.85546875" bestFit="1" customWidth="1"/>
    <col min="3" max="3" width="9.140625" bestFit="1" customWidth="1"/>
    <col min="4" max="4" width="11.28515625" bestFit="1" customWidth="1"/>
    <col min="5" max="5" width="27.7109375" customWidth="1"/>
  </cols>
  <sheetData>
    <row r="3" spans="1:6" x14ac:dyDescent="0.25">
      <c r="A3" s="2" t="s">
        <v>412</v>
      </c>
      <c r="B3" t="s">
        <v>425</v>
      </c>
      <c r="F3" s="4"/>
    </row>
    <row r="4" spans="1:6" x14ac:dyDescent="0.25">
      <c r="A4" s="3" t="s">
        <v>420</v>
      </c>
      <c r="B4">
        <v>117344</v>
      </c>
      <c r="D4" s="3"/>
    </row>
    <row r="5" spans="1:6" x14ac:dyDescent="0.25">
      <c r="A5" s="3" t="s">
        <v>421</v>
      </c>
      <c r="B5">
        <v>4872</v>
      </c>
      <c r="D5" s="3"/>
    </row>
    <row r="6" spans="1:6" x14ac:dyDescent="0.25">
      <c r="A6" s="3" t="s">
        <v>422</v>
      </c>
      <c r="B6">
        <v>720</v>
      </c>
      <c r="D6" s="3"/>
    </row>
    <row r="7" spans="1:6" x14ac:dyDescent="0.25">
      <c r="A7" s="3" t="s">
        <v>423</v>
      </c>
      <c r="B7">
        <v>360</v>
      </c>
      <c r="D7" s="4" t="s">
        <v>412</v>
      </c>
      <c r="E7" s="4" t="s">
        <v>425</v>
      </c>
    </row>
    <row r="8" spans="1:6" x14ac:dyDescent="0.25">
      <c r="A8" s="3" t="s">
        <v>424</v>
      </c>
      <c r="B8">
        <v>360</v>
      </c>
      <c r="D8" s="3" t="s">
        <v>423</v>
      </c>
      <c r="E8">
        <v>360</v>
      </c>
    </row>
    <row r="9" spans="1:6" x14ac:dyDescent="0.25">
      <c r="A9" s="3" t="s">
        <v>413</v>
      </c>
      <c r="B9">
        <v>123656</v>
      </c>
      <c r="D9" s="3" t="s">
        <v>424</v>
      </c>
      <c r="E9">
        <v>360</v>
      </c>
    </row>
    <row r="10" spans="1:6" x14ac:dyDescent="0.25">
      <c r="D10" s="3" t="s">
        <v>422</v>
      </c>
      <c r="E10">
        <v>720</v>
      </c>
    </row>
    <row r="11" spans="1:6" x14ac:dyDescent="0.25">
      <c r="D11" s="3" t="s">
        <v>421</v>
      </c>
      <c r="E11">
        <v>4872</v>
      </c>
    </row>
    <row r="12" spans="1:6" x14ac:dyDescent="0.25">
      <c r="D12" s="3" t="s">
        <v>420</v>
      </c>
      <c r="E12">
        <v>117344</v>
      </c>
    </row>
    <row r="13" spans="1:6" x14ac:dyDescent="0.25">
      <c r="D13" s="3"/>
    </row>
  </sheetData>
  <sortState xmlns:xlrd2="http://schemas.microsoft.com/office/spreadsheetml/2017/richdata2" ref="D8:E12">
    <sortCondition ref="E8:E12"/>
  </sortState>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1CEC4-4809-44A7-ABAB-BBC223666B3E}">
  <dimension ref="A3:D26"/>
  <sheetViews>
    <sheetView workbookViewId="0">
      <selection activeCell="G39" sqref="G39"/>
    </sheetView>
  </sheetViews>
  <sheetFormatPr defaultRowHeight="15" x14ac:dyDescent="0.25"/>
  <cols>
    <col min="1" max="1" width="16.5703125" bestFit="1" customWidth="1"/>
    <col min="2" max="2" width="16.85546875" bestFit="1" customWidth="1"/>
    <col min="4" max="4" width="11.28515625" bestFit="1" customWidth="1"/>
    <col min="369" max="369" width="11.28515625" bestFit="1" customWidth="1"/>
  </cols>
  <sheetData>
    <row r="3" spans="1:4" x14ac:dyDescent="0.25">
      <c r="A3" s="2" t="s">
        <v>417</v>
      </c>
      <c r="B3" s="2" t="s">
        <v>416</v>
      </c>
    </row>
    <row r="4" spans="1:4" x14ac:dyDescent="0.25">
      <c r="A4" s="2" t="s">
        <v>412</v>
      </c>
      <c r="B4" t="s">
        <v>418</v>
      </c>
      <c r="C4" t="s">
        <v>419</v>
      </c>
      <c r="D4" t="s">
        <v>413</v>
      </c>
    </row>
    <row r="5" spans="1:4" x14ac:dyDescent="0.25">
      <c r="A5" s="3"/>
      <c r="B5">
        <v>6</v>
      </c>
      <c r="C5">
        <v>4</v>
      </c>
      <c r="D5">
        <v>10</v>
      </c>
    </row>
    <row r="6" spans="1:4" x14ac:dyDescent="0.25">
      <c r="A6" s="3" t="s">
        <v>389</v>
      </c>
      <c r="B6">
        <v>95</v>
      </c>
      <c r="C6">
        <v>99</v>
      </c>
      <c r="D6">
        <v>194</v>
      </c>
    </row>
    <row r="7" spans="1:4" x14ac:dyDescent="0.25">
      <c r="A7" s="3" t="s">
        <v>390</v>
      </c>
      <c r="B7">
        <v>25</v>
      </c>
      <c r="C7">
        <v>30</v>
      </c>
      <c r="D7">
        <v>55</v>
      </c>
    </row>
    <row r="8" spans="1:4" x14ac:dyDescent="0.25">
      <c r="A8" s="3" t="s">
        <v>403</v>
      </c>
      <c r="C8">
        <v>1</v>
      </c>
      <c r="D8">
        <v>1</v>
      </c>
    </row>
    <row r="9" spans="1:4" x14ac:dyDescent="0.25">
      <c r="A9" s="3" t="s">
        <v>404</v>
      </c>
      <c r="B9">
        <v>1</v>
      </c>
      <c r="D9">
        <v>1</v>
      </c>
    </row>
    <row r="10" spans="1:4" x14ac:dyDescent="0.25">
      <c r="A10" s="3" t="s">
        <v>405</v>
      </c>
      <c r="C10">
        <v>1</v>
      </c>
      <c r="D10">
        <v>1</v>
      </c>
    </row>
    <row r="11" spans="1:4" x14ac:dyDescent="0.25">
      <c r="A11" s="3" t="s">
        <v>406</v>
      </c>
      <c r="C11">
        <v>1</v>
      </c>
      <c r="D11">
        <v>1</v>
      </c>
    </row>
    <row r="12" spans="1:4" x14ac:dyDescent="0.25">
      <c r="A12" s="3" t="s">
        <v>407</v>
      </c>
      <c r="B12">
        <v>1</v>
      </c>
      <c r="D12">
        <v>1</v>
      </c>
    </row>
    <row r="13" spans="1:4" x14ac:dyDescent="0.25">
      <c r="A13" s="3" t="s">
        <v>408</v>
      </c>
      <c r="B13">
        <v>1</v>
      </c>
      <c r="D13">
        <v>1</v>
      </c>
    </row>
    <row r="14" spans="1:4" x14ac:dyDescent="0.25">
      <c r="A14" s="3" t="s">
        <v>409</v>
      </c>
      <c r="C14">
        <v>1</v>
      </c>
      <c r="D14">
        <v>1</v>
      </c>
    </row>
    <row r="15" spans="1:4" x14ac:dyDescent="0.25">
      <c r="A15" s="3" t="s">
        <v>410</v>
      </c>
      <c r="B15">
        <v>1</v>
      </c>
      <c r="D15">
        <v>1</v>
      </c>
    </row>
    <row r="16" spans="1:4" x14ac:dyDescent="0.25">
      <c r="A16" s="3" t="s">
        <v>411</v>
      </c>
      <c r="B16">
        <v>1</v>
      </c>
      <c r="D16">
        <v>1</v>
      </c>
    </row>
    <row r="17" spans="1:4" x14ac:dyDescent="0.25">
      <c r="A17" s="3" t="s">
        <v>391</v>
      </c>
      <c r="B17">
        <v>27</v>
      </c>
      <c r="C17">
        <v>27</v>
      </c>
      <c r="D17">
        <v>54</v>
      </c>
    </row>
    <row r="18" spans="1:4" x14ac:dyDescent="0.25">
      <c r="A18" s="3" t="s">
        <v>396</v>
      </c>
      <c r="C18">
        <v>1</v>
      </c>
      <c r="D18">
        <v>1</v>
      </c>
    </row>
    <row r="19" spans="1:4" x14ac:dyDescent="0.25">
      <c r="A19" s="3" t="s">
        <v>34</v>
      </c>
      <c r="B19">
        <v>17</v>
      </c>
      <c r="C19">
        <v>21</v>
      </c>
      <c r="D19">
        <v>38</v>
      </c>
    </row>
    <row r="20" spans="1:4" x14ac:dyDescent="0.25">
      <c r="A20" s="3" t="s">
        <v>397</v>
      </c>
      <c r="B20">
        <v>1</v>
      </c>
      <c r="D20">
        <v>1</v>
      </c>
    </row>
    <row r="21" spans="1:4" x14ac:dyDescent="0.25">
      <c r="A21" s="3" t="s">
        <v>398</v>
      </c>
      <c r="B21">
        <v>1</v>
      </c>
      <c r="D21">
        <v>1</v>
      </c>
    </row>
    <row r="22" spans="1:4" x14ac:dyDescent="0.25">
      <c r="A22" s="3" t="s">
        <v>399</v>
      </c>
      <c r="C22">
        <v>1</v>
      </c>
      <c r="D22">
        <v>1</v>
      </c>
    </row>
    <row r="23" spans="1:4" x14ac:dyDescent="0.25">
      <c r="A23" s="3" t="s">
        <v>400</v>
      </c>
      <c r="B23">
        <v>1</v>
      </c>
      <c r="D23">
        <v>1</v>
      </c>
    </row>
    <row r="24" spans="1:4" x14ac:dyDescent="0.25">
      <c r="A24" s="3" t="s">
        <v>401</v>
      </c>
      <c r="B24">
        <v>1</v>
      </c>
      <c r="D24">
        <v>1</v>
      </c>
    </row>
    <row r="25" spans="1:4" x14ac:dyDescent="0.25">
      <c r="A25" s="3" t="s">
        <v>402</v>
      </c>
      <c r="C25">
        <v>1</v>
      </c>
      <c r="D25">
        <v>1</v>
      </c>
    </row>
    <row r="26" spans="1:4" x14ac:dyDescent="0.25">
      <c r="A26" s="3" t="s">
        <v>413</v>
      </c>
      <c r="B26">
        <v>179</v>
      </c>
      <c r="C26">
        <v>188</v>
      </c>
      <c r="D26">
        <v>367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F7EB-F9F3-41CE-A0DF-606206716759}">
  <dimension ref="A3:D8"/>
  <sheetViews>
    <sheetView workbookViewId="0">
      <selection activeCell="O24" sqref="O24"/>
    </sheetView>
  </sheetViews>
  <sheetFormatPr defaultRowHeight="15" x14ac:dyDescent="0.25"/>
  <cols>
    <col min="1" max="1" width="16.5703125" bestFit="1" customWidth="1"/>
    <col min="2" max="2" width="16.85546875" bestFit="1" customWidth="1"/>
    <col min="3" max="3" width="9.140625" bestFit="1" customWidth="1"/>
    <col min="4" max="4" width="11.28515625" bestFit="1" customWidth="1"/>
  </cols>
  <sheetData>
    <row r="3" spans="1:4" x14ac:dyDescent="0.25">
      <c r="A3" s="2" t="s">
        <v>417</v>
      </c>
      <c r="B3" s="2" t="s">
        <v>416</v>
      </c>
    </row>
    <row r="4" spans="1:4" x14ac:dyDescent="0.25">
      <c r="A4" s="2" t="s">
        <v>412</v>
      </c>
      <c r="B4" t="s">
        <v>418</v>
      </c>
      <c r="C4" t="s">
        <v>419</v>
      </c>
      <c r="D4" t="s">
        <v>413</v>
      </c>
    </row>
    <row r="5" spans="1:4" x14ac:dyDescent="0.25">
      <c r="A5" s="3">
        <v>0</v>
      </c>
      <c r="C5">
        <v>59</v>
      </c>
      <c r="D5">
        <v>59</v>
      </c>
    </row>
    <row r="6" spans="1:4" x14ac:dyDescent="0.25">
      <c r="A6" s="3">
        <v>1</v>
      </c>
      <c r="B6">
        <v>179</v>
      </c>
      <c r="C6">
        <v>100</v>
      </c>
      <c r="D6">
        <v>279</v>
      </c>
    </row>
    <row r="7" spans="1:4" x14ac:dyDescent="0.25">
      <c r="A7" s="3" t="s">
        <v>415</v>
      </c>
      <c r="C7">
        <v>29</v>
      </c>
      <c r="D7">
        <v>29</v>
      </c>
    </row>
    <row r="8" spans="1:4" x14ac:dyDescent="0.25">
      <c r="A8" s="3" t="s">
        <v>413</v>
      </c>
      <c r="B8">
        <v>179</v>
      </c>
      <c r="C8">
        <v>188</v>
      </c>
      <c r="D8">
        <v>367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E594A-0116-4620-82CC-12A7480311F6}">
  <dimension ref="A1"/>
  <sheetViews>
    <sheetView showGridLines="0" workbookViewId="0">
      <selection activeCell="W1" sqref="W1"/>
    </sheetView>
  </sheetViews>
  <sheetFormatPr defaultRowHeight="15" x14ac:dyDescent="0.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88488-2B6E-49F3-B1C5-641F52ECAA8B}">
  <dimension ref="A1"/>
  <sheetViews>
    <sheetView showGridLines="0" zoomScale="85" zoomScaleNormal="85" workbookViewId="0">
      <selection activeCell="AH44" sqref="AH4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9CC12-BB6E-440A-93A5-C4EBB76B4327}">
  <dimension ref="A1"/>
  <sheetViews>
    <sheetView showGridLines="0" zoomScaleNormal="100" workbookViewId="0">
      <selection activeCell="O45" sqref="O45"/>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Finance loan approval predict</vt:lpstr>
      <vt:lpstr>Data (2)</vt:lpstr>
      <vt:lpstr>Pre-Analysis Board</vt:lpstr>
      <vt:lpstr>In-Analysis Board</vt:lpstr>
      <vt:lpstr>Loan Approval Distribution</vt:lpstr>
      <vt:lpstr>EDUCATION IMPACT ON LOAN APPROV</vt:lpstr>
      <vt:lpstr>SELF EMPLOYED VS LOAN APPROVAL</vt:lpstr>
      <vt:lpstr>APPLICANT INCOME ANALYSIS</vt:lpstr>
      <vt:lpstr>DEPENDENTS VS LOAN APPROVAL</vt:lpstr>
      <vt:lpstr>CREDIT HISTORY IMPACT ON LOAN A</vt:lpstr>
      <vt:lpstr>Dashboard Sketch</vt:lpstr>
      <vt:lpstr>Dashboard Interface</vt:lpstr>
      <vt:lpstr>Post-Analysis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Bee</dc:creator>
  <cp:lastModifiedBy>Bee</cp:lastModifiedBy>
  <dcterms:created xsi:type="dcterms:W3CDTF">2026-03-13T09:14:56Z</dcterms:created>
  <dcterms:modified xsi:type="dcterms:W3CDTF">2026-04-01T14:53:25Z</dcterms:modified>
</cp:coreProperties>
</file>